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d.docs.live.net/f00ab543df4ffcd7/4. VUW Master classes/2. Energy Economic Analysis/Assignment 1/"/>
    </mc:Choice>
  </mc:AlternateContent>
  <xr:revisionPtr revIDLastSave="667" documentId="13_ncr:1_{6E15A820-C423-4115-B6A9-D4716625A739}" xr6:coauthVersionLast="47" xr6:coauthVersionMax="47" xr10:uidLastSave="{01E54DBA-7F9E-4C76-BA8B-8AD89EDEE26D}"/>
  <bookViews>
    <workbookView xWindow="43080" yWindow="-120" windowWidth="29040" windowHeight="15720" tabRatio="901" activeTab="1" xr2:uid="{9A8E9799-F832-451B-8318-CBF4E0322009}"/>
  </bookViews>
  <sheets>
    <sheet name="EnergyBalance" sheetId="133" r:id="rId1"/>
    <sheet name="Processes" sheetId="132" r:id="rId2"/>
    <sheet name="RES&amp;OBJ" sheetId="135" r:id="rId3"/>
    <sheet name="DemTechs_TPS" sheetId="136" r:id="rId4"/>
    <sheet name="Demands" sheetId="134" r:id="rId5"/>
  </sheets>
  <externalReferences>
    <externalReference r:id="rId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34" l="1"/>
  <c r="F8" i="134"/>
  <c r="B21" i="132"/>
  <c r="B20" i="132"/>
  <c r="J16" i="132"/>
  <c r="N9" i="132"/>
  <c r="N8" i="132"/>
  <c r="N22" i="132" s="1"/>
  <c r="N7" i="132"/>
  <c r="N21" i="132" s="1"/>
  <c r="N6" i="132"/>
  <c r="N20" i="132" s="1"/>
  <c r="N5" i="132"/>
  <c r="N19" i="132" s="1"/>
  <c r="N4" i="132"/>
  <c r="N18" i="132" s="1"/>
  <c r="E9" i="134"/>
  <c r="F9" i="134" s="1"/>
  <c r="J21" i="133"/>
  <c r="B19" i="132"/>
  <c r="B18" i="132"/>
  <c r="B17" i="132"/>
  <c r="C17" i="132"/>
  <c r="D6" i="132"/>
  <c r="P8" i="132" s="1"/>
  <c r="D5" i="132"/>
  <c r="P7" i="132" s="1"/>
  <c r="D4" i="132"/>
  <c r="P6" i="132" s="1"/>
  <c r="D3" i="132"/>
  <c r="P5" i="132" s="1"/>
  <c r="C6" i="132"/>
  <c r="O8" i="132" s="1"/>
  <c r="D21" i="132" s="1"/>
  <c r="C5" i="132"/>
  <c r="O7" i="132" s="1"/>
  <c r="C4" i="132"/>
  <c r="O6" i="132" s="1"/>
  <c r="C3" i="132"/>
  <c r="O5" i="132" s="1"/>
  <c r="C2" i="132"/>
  <c r="D2" i="132"/>
  <c r="P4" i="132" s="1"/>
  <c r="E2" i="132"/>
  <c r="Q6" i="132" s="1"/>
  <c r="G14" i="133"/>
  <c r="G8" i="133"/>
  <c r="F2" i="136"/>
  <c r="E2" i="136"/>
  <c r="P12" i="136" s="1"/>
  <c r="D2" i="136"/>
  <c r="O12" i="136" s="1"/>
  <c r="B2" i="136"/>
  <c r="D12" i="136" s="1"/>
  <c r="C2" i="136"/>
  <c r="J11" i="133"/>
  <c r="I14" i="133"/>
  <c r="F14" i="133"/>
  <c r="E14" i="133"/>
  <c r="D14" i="133"/>
  <c r="J13" i="133"/>
  <c r="J12" i="133"/>
  <c r="J10" i="133"/>
  <c r="J7" i="133"/>
  <c r="J6" i="133"/>
  <c r="J5" i="133"/>
  <c r="I8" i="133"/>
  <c r="F8" i="133"/>
  <c r="E8" i="133"/>
  <c r="D8" i="133"/>
  <c r="D21" i="133" s="1"/>
  <c r="G2" i="134"/>
  <c r="E2" i="134"/>
  <c r="E8" i="134" s="1"/>
  <c r="G2" i="132"/>
  <c r="G3" i="132" s="1"/>
  <c r="G4" i="132" s="1"/>
  <c r="G5" i="132" s="1"/>
  <c r="G6" i="132" s="1"/>
  <c r="C21" i="132" l="1"/>
  <c r="C20" i="132"/>
  <c r="Q21" i="132"/>
  <c r="Q22" i="132"/>
  <c r="Q8" i="132"/>
  <c r="Q4" i="132"/>
  <c r="Q20" i="132"/>
  <c r="E3" i="132"/>
  <c r="E4" i="132" s="1"/>
  <c r="E5" i="132" s="1"/>
  <c r="E6" i="132" s="1"/>
  <c r="Q19" i="132"/>
  <c r="C18" i="132"/>
  <c r="C19" i="132"/>
  <c r="Q7" i="132"/>
  <c r="O4" i="132"/>
  <c r="Q18" i="132"/>
  <c r="Q5" i="132"/>
  <c r="J8" i="133"/>
  <c r="J20" i="133"/>
  <c r="E11" i="136"/>
  <c r="P5" i="136"/>
  <c r="J14" i="133"/>
  <c r="N12" i="136"/>
  <c r="B12" i="136" s="1"/>
  <c r="C12" i="136" s="1"/>
  <c r="H11" i="136"/>
  <c r="I11" i="136"/>
  <c r="Q12" i="1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19" authorId="0" shapeId="0" xr:uid="{C9CD3F5C-968E-4723-9BFE-9DDECCCCE23E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2" authorId="0" shapeId="0" xr:uid="{F53D9AAA-F4E5-411F-B77C-FE37D78C8AFE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2" authorId="1" shapeId="0" xr:uid="{8FA38031-B97C-49CB-B555-0CF9BE0766F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2" authorId="2" shapeId="0" xr:uid="{E6220BA9-6A29-4D04-91E1-4722D7B34CFB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2" authorId="2" shapeId="0" xr:uid="{B3986641-51DB-4AB6-8D96-E44000E2C73B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2" authorId="2" shapeId="0" xr:uid="{4E2BCD11-6C7D-4627-815B-2041811D052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14" authorId="2" shapeId="0" xr:uid="{CE905806-D995-4196-93A3-0E3C06AF2E95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S15" authorId="2" shapeId="0" xr:uid="{5591A840-BD1E-4CAD-9970-AAC1FF6F883B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3CE34528-1535-4945-A26C-EF364B329757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62F41B28-B520-4EAE-9A13-51086A085753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62C02994-8856-405D-A9AC-208B6D10709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770ACA00-2BA2-42E2-9B35-0169F210646E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9DAA0029-EF1C-47DB-B7FD-B232693C21E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9F1EBF3-4AD6-4077-BABF-7CF98F985E7E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CD0CADA8-4DD6-45DC-A048-A61B8E64BA2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E2F1E7A6-C899-498E-8E77-A9F80BD1A64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 xr:uid="{35204B37-B996-486B-8295-04E2E05DDB67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 xr:uid="{A679A136-1620-472E-BA8A-810C55EF1B7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 xr:uid="{2F7A4486-F7A8-42B7-AD8A-36D60F78DB4F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 xr:uid="{B89B2461-14CE-40F3-A8CA-873B6929BE36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<sst xmlns="http://schemas.openxmlformats.org/spreadsheetml/2006/main" count="281" uniqueCount="168">
  <si>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</si>
  <si>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</si>
  <si>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</si>
  <si>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</si>
  <si>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</si>
  <si>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</si>
  <si>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</si>
  <si>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</si>
  <si>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</si>
  <si>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</si>
  <si>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</si>
  <si>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</si>
  <si>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</si>
  <si>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</si>
  <si>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</si>
  <si>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</si>
  <si>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</si>
  <si>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</si>
  <si>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</si>
  <si>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</si>
  <si>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</si>
  <si>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</si>
  <si>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</si>
  <si>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</si>
  <si>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</si>
  <si>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</si>
  <si>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</si>
  <si>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</si>
  <si>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</si>
  <si>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</si>
  <si>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</si>
  <si>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</si>
  <si>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</si>
  <si>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</si>
  <si>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</si>
  <si>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</si>
  <si>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</si>
  <si>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</si>
  <si>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</si>
  <si>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</si>
  <si>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</si>
  <si>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</si>
  <si>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</si>
  <si>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ELC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</si>
  <si>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</si>
  <si>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</si>
  <si>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</si>
  <si>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</si>
  <si>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</si>
  <si>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</si>
  <si>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</si>
  <si>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</si>
  <si>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</si>
  <si>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</si>
  <si>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</si>
  <si>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</si>
  <si>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</si>
  <si>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</si>
  <si>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</si>
  <si>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</si>
  <si>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</si>
  <si>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</si>
  <si>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</si>
  <si>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</si>
  <si>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</si>
  <si>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</si>
  <si>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</si>
  <si>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</si>
  <si>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</si>
  <si>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OTH</t>
  </si>
  <si>
    <t>Other</t>
  </si>
  <si>
    <t>NRG</t>
  </si>
  <si>
    <t>Sector Name</t>
  </si>
  <si>
    <t>Commodity</t>
  </si>
  <si>
    <t>Description</t>
  </si>
  <si>
    <t>Default Unit</t>
  </si>
  <si>
    <t>Currency Unit</t>
  </si>
  <si>
    <t>Attribute</t>
  </si>
  <si>
    <t>*</t>
  </si>
  <si>
    <t>Demand Commodity Name</t>
  </si>
  <si>
    <t>DEM</t>
  </si>
  <si>
    <t>Electricity</t>
  </si>
  <si>
    <t>TFC</t>
  </si>
  <si>
    <t>*Units</t>
  </si>
  <si>
    <t>Default Units</t>
  </si>
  <si>
    <t>Currency</t>
  </si>
  <si>
    <t>Activity</t>
  </si>
  <si>
    <t>Emissions</t>
  </si>
  <si>
    <t>kt</t>
  </si>
  <si>
    <t>Domestic Supply Curve Share - Step 1</t>
  </si>
  <si>
    <t>Domestic Supply Curve Share - Step 2</t>
  </si>
  <si>
    <t>*Unit</t>
  </si>
  <si>
    <t>Demand Unit</t>
  </si>
  <si>
    <t>User inputs</t>
  </si>
  <si>
    <t>Linked to the Energy Balance</t>
  </si>
  <si>
    <t>Reference Energy System (from VEDA-FE Go-To RES feature)</t>
  </si>
  <si>
    <t>Objective Function</t>
  </si>
  <si>
    <t>Type</t>
  </si>
  <si>
    <t>Existing</t>
  </si>
  <si>
    <t>E</t>
  </si>
  <si>
    <t>STOCK</t>
  </si>
  <si>
    <t>EFF</t>
  </si>
  <si>
    <t>AFA</t>
  </si>
  <si>
    <t>INVCOST</t>
  </si>
  <si>
    <t>FIXOM</t>
  </si>
  <si>
    <t>LIFE</t>
  </si>
  <si>
    <t>Existing Installed Capacity</t>
  </si>
  <si>
    <t>Efficiency</t>
  </si>
  <si>
    <t>Utilisation Factor</t>
  </si>
  <si>
    <t>Invesctment Cost</t>
  </si>
  <si>
    <t>Fixed O&amp;M Cost</t>
  </si>
  <si>
    <t>Years</t>
  </si>
  <si>
    <t>DMD</t>
  </si>
  <si>
    <t>TPS</t>
  </si>
  <si>
    <t>Total Primary Supply</t>
  </si>
  <si>
    <t>Total Final Consumption</t>
  </si>
  <si>
    <t>Primary Supply (Mining, Import/Export and total primary supply demand)</t>
  </si>
  <si>
    <t>Run name: DemoS_001</t>
  </si>
  <si>
    <t>Lifetime</t>
  </si>
  <si>
    <t>Objective Function by Scenario</t>
  </si>
  <si>
    <t>_SysCost VEDA-BE table</t>
  </si>
  <si>
    <t>MWh</t>
  </si>
  <si>
    <t>Data used in the template to build the model</t>
  </si>
  <si>
    <t>MUSD$25</t>
  </si>
  <si>
    <t>Government</t>
  </si>
  <si>
    <t>Diesel (Imported)</t>
  </si>
  <si>
    <t>Biodiesel</t>
  </si>
  <si>
    <t>Solar PV</t>
  </si>
  <si>
    <t>SPV</t>
  </si>
  <si>
    <t>Wind Energy</t>
  </si>
  <si>
    <t>MW</t>
  </si>
  <si>
    <t>Low-side cost</t>
  </si>
  <si>
    <t>ENV</t>
  </si>
  <si>
    <t>Carbon emissions</t>
  </si>
  <si>
    <t>BIODIESEL</t>
  </si>
  <si>
    <t>WIND</t>
  </si>
  <si>
    <t>DIESEL</t>
  </si>
  <si>
    <t>DIE-to-ELC</t>
  </si>
  <si>
    <t>BIO-to-ELC</t>
  </si>
  <si>
    <t>SPV-to-ELC</t>
  </si>
  <si>
    <t>WIND-to-ELC</t>
  </si>
  <si>
    <t>US$ per MWh</t>
  </si>
  <si>
    <t>Total Demand</t>
  </si>
  <si>
    <t>DTFC</t>
  </si>
  <si>
    <t>ANNUAL</t>
  </si>
  <si>
    <t>PRE</t>
  </si>
  <si>
    <t>BESS-to-ELC</t>
  </si>
  <si>
    <t>NAURU</t>
  </si>
  <si>
    <t>CO2e</t>
  </si>
  <si>
    <t>LO</t>
  </si>
  <si>
    <t>STK</t>
  </si>
  <si>
    <t>Diesel to Electricity</t>
  </si>
  <si>
    <t>Biodiesel to Electricity</t>
  </si>
  <si>
    <t>Solar PV to Electricity</t>
  </si>
  <si>
    <t>Wind Energy to Electricity</t>
  </si>
  <si>
    <t xml:space="preserve">Battery Storage </t>
  </si>
  <si>
    <t>RNW</t>
  </si>
  <si>
    <t>PASTI~2025</t>
  </si>
  <si>
    <t>Past Investment Capacity</t>
  </si>
  <si>
    <t>PASTI~2050</t>
  </si>
  <si>
    <t>ENV_ACT</t>
  </si>
  <si>
    <t>Activity Emission Coefficient</t>
  </si>
  <si>
    <t>tCO2e per MWh</t>
  </si>
  <si>
    <t>High-side Cost</t>
  </si>
  <si>
    <t>W</t>
  </si>
  <si>
    <t>BESS</t>
  </si>
  <si>
    <t>Low_side_Cost</t>
  </si>
  <si>
    <t>High_side_Cost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</si>
</sst>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General_)"/>
    <numFmt numFmtId="166" formatCode="\Te\x\t"/>
    <numFmt numFmtId="167" formatCode="_(* #,##0_);_(* \(#,##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12" applyNumberFormat="0" applyAlignment="0" applyProtection="0"/>
    <xf numFmtId="164" fontId="12" fillId="0" borderId="0" applyFont="0" applyFill="0" applyBorder="0" applyAlignment="0" applyProtection="0"/>
    <xf numFmtId="0" fontId="15" fillId="7" borderId="0" applyNumberFormat="0" applyBorder="0" applyAlignment="0" applyProtection="0"/>
    <xf numFmtId="0" fontId="16" fillId="8" borderId="12" applyNumberFormat="0" applyAlignment="0" applyProtection="0"/>
    <xf numFmtId="0" fontId="17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  <xf numFmtId="43" fontId="24" fillId="0" borderId="0" applyFont="0" applyFill="0" applyBorder="0" applyAlignment="0" applyProtection="0"/>
  </cellStyleXfs>
  <cellXfs count="94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3" fillId="5" borderId="0" xfId="3"/>
    <xf numFmtId="0" fontId="18" fillId="10" borderId="0" xfId="6" applyFont="1" applyFill="1"/>
    <xf numFmtId="0" fontId="19" fillId="3" borderId="3" xfId="1" applyFont="1" applyBorder="1" applyAlignment="1">
      <alignment horizontal="center" wrapText="1"/>
    </xf>
    <xf numFmtId="0" fontId="19" fillId="3" borderId="3" xfId="1" applyFont="1" applyBorder="1" applyAlignment="1">
      <alignment horizontal="left" wrapText="1"/>
    </xf>
    <xf numFmtId="0" fontId="19" fillId="3" borderId="1" xfId="1" applyFont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20" fillId="0" borderId="0" xfId="0" applyFont="1"/>
    <xf numFmtId="0" fontId="4" fillId="0" borderId="6" xfId="0" applyFont="1" applyBorder="1"/>
    <xf numFmtId="0" fontId="4" fillId="0" borderId="7" xfId="0" applyFont="1" applyBorder="1"/>
    <xf numFmtId="9" fontId="21" fillId="0" borderId="0" xfId="16" applyFont="1" applyBorder="1" applyAlignment="1"/>
    <xf numFmtId="0" fontId="13" fillId="5" borderId="0" xfId="3" applyAlignment="1">
      <alignment wrapText="1"/>
    </xf>
    <xf numFmtId="0" fontId="3" fillId="0" borderId="0" xfId="0" applyFont="1"/>
    <xf numFmtId="1" fontId="4" fillId="0" borderId="0" xfId="9" applyNumberFormat="1"/>
    <xf numFmtId="0" fontId="4" fillId="0" borderId="8" xfId="0" applyFont="1" applyBorder="1"/>
    <xf numFmtId="0" fontId="22" fillId="0" borderId="0" xfId="0" applyFont="1"/>
    <xf numFmtId="0" fontId="18" fillId="10" borderId="0" xfId="6" applyFont="1" applyFill="1" applyAlignment="1">
      <alignment horizontal="left"/>
    </xf>
    <xf numFmtId="1" fontId="0" fillId="11" borderId="0" xfId="0" applyNumberFormat="1" applyFill="1"/>
    <xf numFmtId="1" fontId="3" fillId="11" borderId="0" xfId="0" applyNumberFormat="1" applyFont="1" applyFill="1"/>
    <xf numFmtId="0" fontId="22" fillId="12" borderId="0" xfId="0" applyFont="1" applyFill="1"/>
    <xf numFmtId="1" fontId="3" fillId="13" borderId="0" xfId="0" applyNumberFormat="1" applyFont="1" applyFill="1"/>
    <xf numFmtId="0" fontId="0" fillId="13" borderId="0" xfId="0" applyFill="1"/>
    <xf numFmtId="1" fontId="16" fillId="8" borderId="0" xfId="7" applyNumberFormat="1" applyBorder="1" applyAlignment="1"/>
    <xf numFmtId="1" fontId="14" fillId="6" borderId="4" xfId="4" applyNumberFormat="1" applyBorder="1" applyAlignment="1">
      <alignment horizontal="right"/>
    </xf>
    <xf numFmtId="165" fontId="14" fillId="6" borderId="5" xfId="4" applyNumberFormat="1" applyBorder="1" applyAlignment="1">
      <alignment horizontal="right" vertical="center"/>
    </xf>
    <xf numFmtId="0" fontId="3" fillId="0" borderId="2" xfId="0" applyFont="1" applyBorder="1"/>
    <xf numFmtId="1" fontId="14" fillId="6" borderId="13" xfId="4" applyNumberFormat="1" applyBorder="1" applyAlignment="1">
      <alignment horizontal="right"/>
    </xf>
    <xf numFmtId="1" fontId="14" fillId="6" borderId="14" xfId="4" applyNumberFormat="1" applyBorder="1" applyAlignment="1">
      <alignment horizontal="right"/>
    </xf>
    <xf numFmtId="165" fontId="9" fillId="13" borderId="6" xfId="0" applyNumberFormat="1" applyFont="1" applyFill="1" applyBorder="1" applyAlignment="1">
      <alignment horizontal="left" vertical="center"/>
    </xf>
    <xf numFmtId="165" fontId="9" fillId="13" borderId="10" xfId="0" applyNumberFormat="1" applyFont="1" applyFill="1" applyBorder="1" applyAlignment="1">
      <alignment horizontal="left" vertical="center"/>
    </xf>
    <xf numFmtId="165" fontId="9" fillId="14" borderId="6" xfId="0" applyNumberFormat="1" applyFont="1" applyFill="1" applyBorder="1" applyAlignment="1">
      <alignment horizontal="left" vertical="center"/>
    </xf>
    <xf numFmtId="165" fontId="9" fillId="14" borderId="10" xfId="0" applyNumberFormat="1" applyFont="1" applyFill="1" applyBorder="1" applyAlignment="1">
      <alignment horizontal="left" vertical="center"/>
    </xf>
    <xf numFmtId="165" fontId="9" fillId="14" borderId="7" xfId="0" applyNumberFormat="1" applyFont="1" applyFill="1" applyBorder="1" applyAlignment="1">
      <alignment horizontal="left" vertical="center"/>
    </xf>
    <xf numFmtId="0" fontId="0" fillId="15" borderId="0" xfId="0" applyFill="1"/>
    <xf numFmtId="0" fontId="4" fillId="13" borderId="0" xfId="8" applyFont="1" applyFill="1"/>
    <xf numFmtId="0" fontId="23" fillId="0" borderId="0" xfId="0" applyFont="1"/>
    <xf numFmtId="0" fontId="3" fillId="16" borderId="0" xfId="0" applyFont="1" applyFill="1"/>
    <xf numFmtId="0" fontId="18" fillId="10" borderId="0" xfId="6" applyFont="1" applyFill="1" applyAlignment="1">
      <alignment wrapText="1"/>
    </xf>
    <xf numFmtId="0" fontId="18" fillId="0" borderId="0" xfId="6" applyFont="1" applyFill="1"/>
    <xf numFmtId="0" fontId="4" fillId="0" borderId="0" xfId="11" applyAlignment="1">
      <alignment horizontal="left"/>
    </xf>
    <xf numFmtId="0" fontId="4" fillId="0" borderId="0" xfId="11" applyAlignment="1">
      <alignment horizontal="right"/>
    </xf>
    <xf numFmtId="0" fontId="21" fillId="0" borderId="0" xfId="0" applyFont="1"/>
    <xf numFmtId="0" fontId="3" fillId="2" borderId="1" xfId="11" applyFont="1" applyFill="1" applyBorder="1" applyAlignment="1">
      <alignment horizontal="left" vertical="center"/>
    </xf>
    <xf numFmtId="0" fontId="19" fillId="3" borderId="11" xfId="1" applyFont="1" applyBorder="1" applyAlignment="1">
      <alignment horizontal="center" wrapText="1"/>
    </xf>
    <xf numFmtId="2" fontId="0" fillId="13" borderId="0" xfId="0" applyNumberFormat="1" applyFill="1"/>
    <xf numFmtId="2" fontId="0" fillId="0" borderId="0" xfId="0" applyNumberFormat="1"/>
    <xf numFmtId="0" fontId="13" fillId="4" borderId="0" xfId="2"/>
    <xf numFmtId="165" fontId="8" fillId="0" borderId="5" xfId="0" applyNumberFormat="1" applyFont="1" applyBorder="1" applyAlignment="1">
      <alignment horizontal="left" vertical="center"/>
    </xf>
    <xf numFmtId="165" fontId="9" fillId="11" borderId="10" xfId="0" applyNumberFormat="1" applyFont="1" applyFill="1" applyBorder="1" applyAlignment="1">
      <alignment horizontal="left" vertical="center"/>
    </xf>
    <xf numFmtId="165" fontId="8" fillId="0" borderId="7" xfId="0" applyNumberFormat="1" applyFont="1" applyBorder="1" applyAlignment="1">
      <alignment horizontal="left" vertical="center"/>
    </xf>
    <xf numFmtId="0" fontId="19" fillId="3" borderId="4" xfId="1" applyFont="1" applyBorder="1" applyAlignment="1">
      <alignment horizontal="left" wrapText="1"/>
    </xf>
    <xf numFmtId="0" fontId="3" fillId="2" borderId="1" xfId="11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9" fillId="0" borderId="0" xfId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4" xfId="0" applyNumberFormat="1" applyFont="1" applyFill="1" applyBorder="1" applyAlignment="1">
      <alignment horizontal="left"/>
    </xf>
    <xf numFmtId="166" fontId="19" fillId="3" borderId="3" xfId="1" applyNumberFormat="1" applyFont="1" applyBorder="1" applyAlignment="1">
      <alignment horizontal="left" wrapText="1"/>
    </xf>
    <xf numFmtId="166" fontId="0" fillId="0" borderId="0" xfId="0" applyNumberFormat="1"/>
    <xf numFmtId="166" fontId="19" fillId="3" borderId="3" xfId="1" applyNumberFormat="1" applyFont="1" applyBorder="1" applyAlignment="1">
      <alignment horizontal="center" wrapText="1"/>
    </xf>
    <xf numFmtId="0" fontId="1" fillId="0" borderId="8" xfId="0" applyFont="1" applyBorder="1"/>
    <xf numFmtId="167" fontId="4" fillId="15" borderId="0" xfId="21" applyNumberFormat="1" applyFont="1" applyFill="1"/>
    <xf numFmtId="167" fontId="0" fillId="14" borderId="0" xfId="21" applyNumberFormat="1" applyFont="1" applyFill="1"/>
    <xf numFmtId="167" fontId="3" fillId="14" borderId="0" xfId="21" applyNumberFormat="1" applyFont="1" applyFill="1"/>
    <xf numFmtId="167" fontId="0" fillId="14" borderId="2" xfId="21" applyNumberFormat="1" applyFont="1" applyFill="1" applyBorder="1"/>
    <xf numFmtId="167" fontId="3" fillId="14" borderId="2" xfId="21" applyNumberFormat="1" applyFont="1" applyFill="1" applyBorder="1"/>
    <xf numFmtId="166" fontId="1" fillId="0" borderId="0" xfId="0" applyNumberFormat="1" applyFont="1"/>
    <xf numFmtId="0" fontId="19" fillId="3" borderId="3" xfId="1" applyFont="1" applyBorder="1" applyAlignment="1">
      <alignment horizontal="left" vertical="center" wrapText="1"/>
    </xf>
    <xf numFmtId="0" fontId="19" fillId="3" borderId="3" xfId="1" applyFont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3" fontId="4" fillId="13" borderId="0" xfId="21" applyFont="1" applyFill="1"/>
    <xf numFmtId="167" fontId="4" fillId="13" borderId="0" xfId="21" applyNumberFormat="1" applyFont="1" applyFill="1"/>
    <xf numFmtId="0" fontId="22" fillId="12" borderId="2" xfId="0" applyFont="1" applyFill="1" applyBorder="1" applyAlignment="1">
      <alignment horizontal="center" wrapText="1"/>
    </xf>
    <xf numFmtId="167" fontId="14" fillId="6" borderId="4" xfId="21" applyNumberFormat="1" applyFont="1" applyFill="1" applyBorder="1" applyAlignment="1">
      <alignment horizontal="right"/>
    </xf>
    <xf numFmtId="167" fontId="14" fillId="6" borderId="9" xfId="21" applyNumberFormat="1" applyFont="1" applyFill="1" applyBorder="1" applyAlignment="1">
      <alignment horizontal="right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wrapText="1"/>
    </xf>
    <xf numFmtId="0" fontId="3" fillId="2" borderId="0" xfId="0" applyFont="1" applyFill="1" applyAlignment="1">
      <alignment horizontal="center"/>
    </xf>
    <xf numFmtId="0" fontId="19" fillId="3" borderId="0" xfId="1" applyFont="1" applyBorder="1" applyAlignment="1">
      <alignment horizontal="center" vertical="center" wrapText="1"/>
    </xf>
    <xf numFmtId="0" fontId="19" fillId="3" borderId="0" xfId="1" applyFont="1" applyBorder="1" applyAlignment="1">
      <alignment horizontal="center" wrapText="1"/>
    </xf>
    <xf numFmtId="0" fontId="3" fillId="2" borderId="1" xfId="11" applyFont="1" applyFill="1" applyBorder="1" applyAlignment="1">
      <alignment horizontal="center" vertical="center" wrapText="1"/>
    </xf>
    <xf numFmtId="0" fontId="1" fillId="0" borderId="0" xfId="0" applyFont="1"/>
    <xf numFmtId="43" fontId="4" fillId="13" borderId="0" xfId="21" applyNumberFormat="1" applyFont="1" applyFill="1"/>
  </cellXfs>
  <cellStyles count="22">
    <cellStyle name="20% - Accent5" xfId="1" builtinId="46"/>
    <cellStyle name="60% - Accent2" xfId="2" builtinId="36"/>
    <cellStyle name="Accent2" xfId="3" builtinId="33"/>
    <cellStyle name="Calculation" xfId="4" builtinId="22"/>
    <cellStyle name="Comma" xfId="21" builtinId="3"/>
    <cellStyle name="Comma 2" xfId="5" xr:uid="{3B8C37EF-F7E7-4ACA-B635-DD2AE744C5D6}"/>
    <cellStyle name="Good" xfId="6" builtinId="26"/>
    <cellStyle name="Input" xfId="7" builtinId="20"/>
    <cellStyle name="Neutral" xfId="8" builtinId="28"/>
    <cellStyle name="Normal" xfId="0" builtinId="0"/>
    <cellStyle name="Normal 10" xfId="9" xr:uid="{B456F4D6-B79E-4C36-9617-E4C98FBE44AE}"/>
    <cellStyle name="Normal 2" xfId="10" xr:uid="{7F2BB5E2-5FB3-4417-8C9E-2C5B99A65AA6}"/>
    <cellStyle name="Normal 4" xfId="11" xr:uid="{4D38261E-A5D6-4E4A-932F-74D95788A17C}"/>
    <cellStyle name="Normal 4 2" xfId="12" xr:uid="{95C52DE5-FADD-4B14-B3B2-EAD39CAC623D}"/>
    <cellStyle name="Normal 8" xfId="13" xr:uid="{7CAB36B3-3A84-4D1D-973A-6C91DA598CD9}"/>
    <cellStyle name="Normal 9 2" xfId="14" xr:uid="{E7D67027-DDB3-4A81-98DF-D659EC76B645}"/>
    <cellStyle name="Normale_B2020" xfId="15" xr:uid="{4464CAC3-DF58-43BB-A91D-854BDDEC4DF3}"/>
    <cellStyle name="Percent" xfId="16" builtinId="5"/>
    <cellStyle name="Percent 2" xfId="17" xr:uid="{8FC1239E-36A0-44BA-AAAD-D062A5F491C1}"/>
    <cellStyle name="Percent 3" xfId="18" xr:uid="{22698CFC-AFE5-43BF-B053-A668504CCF16}"/>
    <cellStyle name="Percent 4" xfId="19" xr:uid="{D5F23F72-7C37-4348-95B1-E684C7C55AF9}"/>
    <cellStyle name="Standard_Sce_D_Extraction" xfId="20" xr:uid="{BD9A4884-2B75-41BF-8E85-569691FAD1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23</xdr:row>
      <xdr:rowOff>11430</xdr:rowOff>
    </xdr:from>
    <xdr:to>
      <xdr:col>9</xdr:col>
      <xdr:colOff>199517</xdr:colOff>
      <xdr:row>28</xdr:row>
      <xdr:rowOff>39038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97CBA9-5B32-8BFA-14CD-2C9D9596F4C7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4</xdr:col>
      <xdr:colOff>0</xdr:colOff>
      <xdr:row>30</xdr:row>
      <xdr:rowOff>47096</xdr:rowOff>
    </xdr:from>
    <xdr:to>
      <xdr:col>11</xdr:col>
      <xdr:colOff>10811</xdr:colOff>
      <xdr:row>35</xdr:row>
      <xdr:rowOff>7945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50809B-B4D4-2EC4-1DDF-04A8B0B4DD84}"/>
            </a:ext>
          </a:extLst>
        </xdr:cNvPr>
        <xdr:cNvSpPr txBox="1"/>
      </xdr:nvSpPr>
      <xdr:spPr>
        <a:xfrm>
          <a:off x="5888565" y="6091767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301869</xdr:colOff>
      <xdr:row>41</xdr:row>
      <xdr:rowOff>37366</xdr:rowOff>
    </xdr:from>
    <xdr:to>
      <xdr:col>15</xdr:col>
      <xdr:colOff>941429</xdr:colOff>
      <xdr:row>48</xdr:row>
      <xdr:rowOff>128219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1F1D3B-1613-4207-C3C1-E3ADF32B5ABC}"/>
            </a:ext>
          </a:extLst>
        </xdr:cNvPr>
        <xdr:cNvSpPr txBox="1"/>
      </xdr:nvSpPr>
      <xdr:spPr>
        <a:xfrm>
          <a:off x="10816004" y="7107847"/>
          <a:ext cx="3482406" cy="121919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4763</xdr:rowOff>
    </xdr:from>
    <xdr:to>
      <xdr:col>2</xdr:col>
      <xdr:colOff>80963</xdr:colOff>
      <xdr:row>29</xdr:row>
      <xdr:rowOff>38100</xdr:rowOff>
    </xdr:to>
    <xdr:pic>
      <xdr:nvPicPr>
        <xdr:cNvPr id="55102" name="Picture 6">
          <a:extLst>
            <a:ext uri="{FF2B5EF4-FFF2-40B4-BE49-F238E27FC236}">
              <a16:creationId xmlns:a16="http://schemas.microsoft.com/office/drawing/2014/main" id="{2C51111E-7B00-7B99-E80C-65DADD71C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790825"/>
          <a:ext cx="633413" cy="2138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46</xdr:row>
      <xdr:rowOff>9525</xdr:rowOff>
    </xdr:from>
    <xdr:to>
      <xdr:col>10</xdr:col>
      <xdr:colOff>190500</xdr:colOff>
      <xdr:row>55</xdr:row>
      <xdr:rowOff>14288</xdr:rowOff>
    </xdr:to>
    <xdr:pic>
      <xdr:nvPicPr>
        <xdr:cNvPr id="55104" name="Picture 1">
          <a:extLst>
            <a:ext uri="{FF2B5EF4-FFF2-40B4-BE49-F238E27FC236}">
              <a16:creationId xmlns:a16="http://schemas.microsoft.com/office/drawing/2014/main" id="{33987C3A-1E57-6911-E844-F525F913E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738" y="7653338"/>
          <a:ext cx="2667000" cy="1462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481013</xdr:colOff>
      <xdr:row>17</xdr:row>
      <xdr:rowOff>9525</xdr:rowOff>
    </xdr:from>
    <xdr:to>
      <xdr:col>8</xdr:col>
      <xdr:colOff>26054</xdr:colOff>
      <xdr:row>30</xdr:row>
      <xdr:rowOff>19050</xdr:rowOff>
    </xdr:to>
    <xdr:pic>
      <xdr:nvPicPr>
        <xdr:cNvPr id="55105" name="Picture 3">
          <a:extLst>
            <a:ext uri="{FF2B5EF4-FFF2-40B4-BE49-F238E27FC236}">
              <a16:creationId xmlns:a16="http://schemas.microsoft.com/office/drawing/2014/main" id="{23133F4C-BE5C-7936-55C5-E8E33EB3C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175" y="2967878"/>
          <a:ext cx="3287806" cy="2121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52388</xdr:colOff>
      <xdr:row>2</xdr:row>
      <xdr:rowOff>123825</xdr:rowOff>
    </xdr:from>
    <xdr:to>
      <xdr:col>8</xdr:col>
      <xdr:colOff>619125</xdr:colOff>
      <xdr:row>11</xdr:row>
      <xdr:rowOff>114300</xdr:rowOff>
    </xdr:to>
    <xdr:pic>
      <xdr:nvPicPr>
        <xdr:cNvPr id="55106" name="Picture 1">
          <a:extLst>
            <a:ext uri="{FF2B5EF4-FFF2-40B4-BE49-F238E27FC236}">
              <a16:creationId xmlns:a16="http://schemas.microsoft.com/office/drawing/2014/main" id="{A13DDE46-D2B1-95DD-3F47-CC8AC45A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6" y="509588"/>
          <a:ext cx="3157537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157163</xdr:colOff>
      <xdr:row>3</xdr:row>
      <xdr:rowOff>19050</xdr:rowOff>
    </xdr:from>
    <xdr:to>
      <xdr:col>16</xdr:col>
      <xdr:colOff>52388</xdr:colOff>
      <xdr:row>11</xdr:row>
      <xdr:rowOff>23813</xdr:rowOff>
    </xdr:to>
    <xdr:pic>
      <xdr:nvPicPr>
        <xdr:cNvPr id="55107" name="Picture 2">
          <a:extLst>
            <a:ext uri="{FF2B5EF4-FFF2-40B4-BE49-F238E27FC236}">
              <a16:creationId xmlns:a16="http://schemas.microsoft.com/office/drawing/2014/main" id="{91B90440-BB45-FFB9-D0EC-A155C36DA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628650"/>
          <a:ext cx="400050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280147</xdr:colOff>
      <xdr:row>17</xdr:row>
      <xdr:rowOff>28015</xdr:rowOff>
    </xdr:from>
    <xdr:to>
      <xdr:col>16</xdr:col>
      <xdr:colOff>400503</xdr:colOff>
      <xdr:row>29</xdr:row>
      <xdr:rowOff>140074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E5E308D7-2423-4BDF-B99C-FA77AD64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2074" y="2986368"/>
          <a:ext cx="4888458" cy="2061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49529</xdr:colOff>
      <xdr:row>14</xdr:row>
      <xdr:rowOff>40005</xdr:rowOff>
    </xdr:from>
    <xdr:to>
      <xdr:col>17</xdr:col>
      <xdr:colOff>19131</xdr:colOff>
      <xdr:row>19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2E2265-9E3A-0EBE-C70A-59539211B363}"/>
            </a:ext>
          </a:extLst>
        </xdr:cNvPr>
        <xdr:cNvSpPr txBox="1"/>
      </xdr:nvSpPr>
      <xdr:spPr>
        <a:xfrm>
          <a:off x="6678929" y="3145155"/>
          <a:ext cx="7141950" cy="8077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</xdr:colOff>
      <xdr:row>14</xdr:row>
      <xdr:rowOff>40005</xdr:rowOff>
    </xdr:from>
    <xdr:to>
      <xdr:col>4</xdr:col>
      <xdr:colOff>141527</xdr:colOff>
      <xdr:row>18</xdr:row>
      <xdr:rowOff>19871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EFB047-01FC-D9ED-C6C6-154BD52F7853}"/>
            </a:ext>
          </a:extLst>
        </xdr:cNvPr>
        <xdr:cNvSpPr txBox="1"/>
      </xdr:nvSpPr>
      <xdr:spPr>
        <a:xfrm>
          <a:off x="91440" y="2773680"/>
          <a:ext cx="3794760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 the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 year. The COA demand defined in this sheet is the sum of Conversion and Final coal. consumption.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E4EC-1B95-4229-AFCE-11C56CD1FD14}">
  <dimension ref="B1:Q36"/>
  <sheetViews>
    <sheetView zoomScale="90" zoomScaleNormal="90" workbookViewId="0">
      <selection activeCell="J36" sqref="J36"/>
    </sheetView>
  </sheetViews>
  <sheetFormatPr defaultRowHeight="12.75" x14ac:dyDescent="0.35"/>
  <cols>
    <col min="1" max="1" width="3" bestFit="1" customWidth="1"/>
    <col min="2" max="2" width="8.265625" customWidth="1"/>
    <col min="3" max="3" width="40.1328125" bestFit="1" customWidth="1"/>
    <col min="4" max="4" width="14.9296875" customWidth="1"/>
    <col min="5" max="6" width="13.265625" customWidth="1"/>
    <col min="7" max="8" width="14.53125" customWidth="1"/>
    <col min="9" max="9" width="13.265625" customWidth="1"/>
    <col min="10" max="10" width="10.59765625" customWidth="1"/>
    <col min="11" max="11" width="11.46484375" customWidth="1"/>
    <col min="12" max="12" width="15.59765625" bestFit="1" customWidth="1"/>
    <col min="13" max="13" width="3.86328125" customWidth="1"/>
    <col min="14" max="14" width="12.265625" bestFit="1" customWidth="1"/>
    <col min="15" max="15" width="12.1328125" customWidth="1"/>
    <col min="16" max="16" width="6.73046875" bestFit="1" customWidth="1"/>
    <col min="17" max="17" width="9.265625" bestFit="1" customWidth="1"/>
    <col min="18" max="18" width="2" bestFit="1" customWidth="1"/>
  </cols>
  <sheetData>
    <row r="1" spans="2:17" ht="13.15" x14ac:dyDescent="0.4">
      <c r="N1" s="15" t="s">
        <v>84</v>
      </c>
      <c r="O1" s="1" t="s">
        <v>85</v>
      </c>
      <c r="P1" s="1" t="s">
        <v>86</v>
      </c>
      <c r="Q1" s="1" t="s">
        <v>87</v>
      </c>
    </row>
    <row r="2" spans="2:17" ht="15.75" x14ac:dyDescent="0.5">
      <c r="D2" s="83" t="s">
        <v>136</v>
      </c>
      <c r="E2" s="83" t="s">
        <v>134</v>
      </c>
      <c r="F2" s="83" t="s">
        <v>128</v>
      </c>
      <c r="G2" s="83" t="s">
        <v>135</v>
      </c>
      <c r="H2" s="83" t="s">
        <v>165</v>
      </c>
      <c r="I2" s="83" t="s">
        <v>43</v>
      </c>
      <c r="J2" s="20"/>
      <c r="O2" s="24" t="s">
        <v>123</v>
      </c>
      <c r="P2" s="9" t="s">
        <v>121</v>
      </c>
      <c r="Q2" s="9" t="s">
        <v>88</v>
      </c>
    </row>
    <row r="3" spans="2:17" ht="29.25" customHeight="1" x14ac:dyDescent="0.35">
      <c r="C3" s="6"/>
      <c r="D3" s="79" t="s">
        <v>125</v>
      </c>
      <c r="E3" s="79" t="s">
        <v>126</v>
      </c>
      <c r="F3" s="79" t="s">
        <v>127</v>
      </c>
      <c r="G3" s="79" t="s">
        <v>129</v>
      </c>
      <c r="H3" s="79"/>
      <c r="I3" s="79" t="s">
        <v>81</v>
      </c>
      <c r="J3" s="80" t="s">
        <v>44</v>
      </c>
    </row>
    <row r="4" spans="2:17" x14ac:dyDescent="0.35">
      <c r="C4" s="55" t="s">
        <v>45</v>
      </c>
      <c r="D4" s="6"/>
      <c r="E4" s="6"/>
      <c r="F4" s="6"/>
      <c r="G4" s="6"/>
      <c r="H4" s="6"/>
      <c r="I4" s="6"/>
      <c r="J4" s="6"/>
    </row>
    <row r="5" spans="2:17" ht="13.15" x14ac:dyDescent="0.4">
      <c r="B5" s="27" t="s">
        <v>46</v>
      </c>
      <c r="C5" s="56" t="s">
        <v>47</v>
      </c>
      <c r="D5" s="25">
        <v>0</v>
      </c>
      <c r="E5" s="25">
        <v>0</v>
      </c>
      <c r="F5" s="25">
        <v>0</v>
      </c>
      <c r="G5" s="25">
        <v>0</v>
      </c>
      <c r="H5" s="25"/>
      <c r="I5" s="25">
        <v>0.153</v>
      </c>
      <c r="J5" s="26">
        <f>SUM(D5:I5)</f>
        <v>0.153</v>
      </c>
      <c r="N5" s="15" t="s">
        <v>30</v>
      </c>
      <c r="O5" t="s">
        <v>147</v>
      </c>
    </row>
    <row r="6" spans="2:17" ht="13.15" x14ac:dyDescent="0.4">
      <c r="B6" s="27" t="s">
        <v>48</v>
      </c>
      <c r="C6" s="56" t="s">
        <v>49</v>
      </c>
      <c r="D6" s="25">
        <v>0</v>
      </c>
      <c r="E6" s="25">
        <v>7.0000000000000001E-3</v>
      </c>
      <c r="F6" s="25">
        <v>0.153</v>
      </c>
      <c r="G6" s="25">
        <v>0.153</v>
      </c>
      <c r="H6" s="25"/>
      <c r="I6" s="25">
        <v>0.153</v>
      </c>
      <c r="J6" s="26">
        <f>SUM(D6:I6)</f>
        <v>0.46599999999999997</v>
      </c>
    </row>
    <row r="7" spans="2:17" ht="13.15" x14ac:dyDescent="0.4">
      <c r="B7" s="27" t="s">
        <v>50</v>
      </c>
      <c r="C7" s="56" t="s">
        <v>51</v>
      </c>
      <c r="D7" s="25">
        <v>0</v>
      </c>
      <c r="E7" s="25">
        <v>0</v>
      </c>
      <c r="F7" s="25">
        <v>-0.129</v>
      </c>
      <c r="G7" s="25">
        <v>-0.129</v>
      </c>
      <c r="H7" s="25"/>
      <c r="I7" s="25">
        <v>0.153</v>
      </c>
      <c r="J7" s="26">
        <f>SUM(D7:I7)</f>
        <v>-0.10500000000000001</v>
      </c>
      <c r="N7" s="7"/>
    </row>
    <row r="8" spans="2:17" ht="14.25" x14ac:dyDescent="0.45">
      <c r="B8" s="54" t="s">
        <v>113</v>
      </c>
      <c r="C8" s="32" t="s">
        <v>114</v>
      </c>
      <c r="D8" s="34">
        <f t="shared" ref="D8:J8" si="0">SUM(D5:D7)</f>
        <v>0</v>
      </c>
      <c r="E8" s="34">
        <f t="shared" si="0"/>
        <v>7.0000000000000001E-3</v>
      </c>
      <c r="F8" s="34">
        <f t="shared" si="0"/>
        <v>2.3999999999999994E-2</v>
      </c>
      <c r="G8" s="34">
        <f t="shared" ref="G8" si="1">SUM(G5:G7)</f>
        <v>2.3999999999999994E-2</v>
      </c>
      <c r="H8" s="34"/>
      <c r="I8" s="34">
        <f t="shared" si="0"/>
        <v>0.45899999999999996</v>
      </c>
      <c r="J8" s="35">
        <f t="shared" si="0"/>
        <v>0.51400000000000001</v>
      </c>
    </row>
    <row r="9" spans="2:17" ht="13.15" x14ac:dyDescent="0.4">
      <c r="B9" s="23"/>
      <c r="C9" s="57" t="s">
        <v>52</v>
      </c>
      <c r="D9" s="6"/>
      <c r="E9" s="6"/>
      <c r="F9" s="6"/>
      <c r="G9" s="6"/>
      <c r="H9" s="6"/>
      <c r="I9" s="6"/>
      <c r="J9" s="33"/>
    </row>
    <row r="10" spans="2:17" ht="13.15" x14ac:dyDescent="0.4">
      <c r="B10" s="27" t="s">
        <v>53</v>
      </c>
      <c r="C10" s="36" t="s">
        <v>54</v>
      </c>
      <c r="D10" s="25">
        <v>7.0000000000000001E-3</v>
      </c>
      <c r="E10" s="25">
        <v>7.0000000000000001E-3</v>
      </c>
      <c r="F10" s="25">
        <v>7.0000000000000001E-3</v>
      </c>
      <c r="G10" s="25">
        <v>7.0000000000000001E-3</v>
      </c>
      <c r="H10" s="25"/>
      <c r="I10" s="25">
        <v>7.0000000000000001E-3</v>
      </c>
      <c r="J10" s="28">
        <f>SUM(D10:I10)</f>
        <v>3.5000000000000003E-2</v>
      </c>
    </row>
    <row r="11" spans="2:17" ht="13.15" x14ac:dyDescent="0.4">
      <c r="B11" s="27" t="s">
        <v>43</v>
      </c>
      <c r="C11" s="37" t="s">
        <v>55</v>
      </c>
      <c r="D11" s="25">
        <v>7.0000000000000001E-3</v>
      </c>
      <c r="E11" s="25">
        <v>7.0000000000000001E-3</v>
      </c>
      <c r="F11" s="25">
        <v>7.0000000000000001E-3</v>
      </c>
      <c r="G11" s="25">
        <v>7.0000000000000001E-3</v>
      </c>
      <c r="H11" s="25"/>
      <c r="I11" s="25">
        <v>7.0000000000000001E-3</v>
      </c>
      <c r="J11" s="28">
        <f>SUM(D11:I11)</f>
        <v>3.5000000000000003E-2</v>
      </c>
    </row>
    <row r="12" spans="2:17" ht="13.15" x14ac:dyDescent="0.4">
      <c r="B12" s="27" t="s">
        <v>56</v>
      </c>
      <c r="C12" s="37" t="s">
        <v>57</v>
      </c>
      <c r="D12" s="25">
        <v>7.0000000000000001E-3</v>
      </c>
      <c r="E12" s="25">
        <v>7.0000000000000001E-3</v>
      </c>
      <c r="F12" s="25">
        <v>7.0000000000000001E-3</v>
      </c>
      <c r="G12" s="25">
        <v>7.0000000000000001E-3</v>
      </c>
      <c r="H12" s="25"/>
      <c r="I12" s="25">
        <v>7.0000000000000001E-3</v>
      </c>
      <c r="J12" s="28">
        <f>SUM(D12:I12)</f>
        <v>3.5000000000000003E-2</v>
      </c>
    </row>
    <row r="13" spans="2:17" ht="13.15" x14ac:dyDescent="0.4">
      <c r="B13" s="27" t="s">
        <v>58</v>
      </c>
      <c r="C13" s="37" t="s">
        <v>59</v>
      </c>
      <c r="D13" s="25">
        <v>7.0000000000000001E-3</v>
      </c>
      <c r="E13" s="25">
        <v>7.0000000000000001E-3</v>
      </c>
      <c r="F13" s="25">
        <v>7.0000000000000001E-3</v>
      </c>
      <c r="G13" s="25">
        <v>7.0000000000000001E-3</v>
      </c>
      <c r="H13" s="25"/>
      <c r="I13" s="25">
        <v>7.0000000000000001E-3</v>
      </c>
      <c r="J13" s="28">
        <f>SUM(D13:I13)</f>
        <v>3.5000000000000003E-2</v>
      </c>
    </row>
    <row r="14" spans="2:17" ht="14.25" x14ac:dyDescent="0.45">
      <c r="B14" s="23"/>
      <c r="C14" s="32" t="s">
        <v>60</v>
      </c>
      <c r="D14" s="34">
        <f t="shared" ref="D14:J14" si="2">SUM(D10:D13)</f>
        <v>2.8000000000000001E-2</v>
      </c>
      <c r="E14" s="34">
        <f t="shared" si="2"/>
        <v>2.8000000000000001E-2</v>
      </c>
      <c r="F14" s="34">
        <f t="shared" si="2"/>
        <v>2.8000000000000001E-2</v>
      </c>
      <c r="G14" s="34">
        <f t="shared" ref="G14" si="3">SUM(G10:G13)</f>
        <v>2.8000000000000001E-2</v>
      </c>
      <c r="H14" s="34"/>
      <c r="I14" s="34">
        <f t="shared" si="2"/>
        <v>2.8000000000000001E-2</v>
      </c>
      <c r="J14" s="35">
        <f t="shared" si="2"/>
        <v>0.14000000000000001</v>
      </c>
    </row>
    <row r="15" spans="2:17" ht="13.15" x14ac:dyDescent="0.4">
      <c r="B15" s="23"/>
      <c r="C15" s="57" t="s">
        <v>61</v>
      </c>
      <c r="D15" s="6"/>
      <c r="E15" s="6"/>
      <c r="F15" s="6"/>
      <c r="G15" s="6"/>
      <c r="H15" s="6"/>
      <c r="I15" s="6"/>
      <c r="J15" s="33"/>
    </row>
    <row r="16" spans="2:17" ht="13.15" x14ac:dyDescent="0.4">
      <c r="B16" s="27" t="s">
        <v>62</v>
      </c>
      <c r="C16" s="38" t="s">
        <v>63</v>
      </c>
      <c r="D16" s="72">
        <v>0</v>
      </c>
      <c r="E16" s="72">
        <v>0</v>
      </c>
      <c r="F16" s="72"/>
      <c r="G16" s="72"/>
      <c r="H16" s="72"/>
      <c r="I16" s="72"/>
      <c r="J16" s="73"/>
    </row>
    <row r="17" spans="2:11" ht="13.15" x14ac:dyDescent="0.4">
      <c r="B17" s="27" t="s">
        <v>64</v>
      </c>
      <c r="C17" s="39" t="s">
        <v>65</v>
      </c>
      <c r="D17" s="72">
        <v>0</v>
      </c>
      <c r="E17" s="72"/>
      <c r="F17" s="72"/>
      <c r="G17" s="72"/>
      <c r="H17" s="72"/>
      <c r="I17" s="72"/>
      <c r="J17" s="73"/>
    </row>
    <row r="18" spans="2:11" ht="13.15" x14ac:dyDescent="0.4">
      <c r="B18" s="27" t="s">
        <v>66</v>
      </c>
      <c r="C18" s="39" t="s">
        <v>67</v>
      </c>
      <c r="D18" s="72">
        <v>0</v>
      </c>
      <c r="E18" s="72"/>
      <c r="F18" s="72"/>
      <c r="G18" s="72"/>
      <c r="H18" s="72"/>
      <c r="I18" s="72"/>
      <c r="J18" s="73"/>
    </row>
    <row r="19" spans="2:11" ht="13.15" x14ac:dyDescent="0.4">
      <c r="B19" s="27" t="s">
        <v>68</v>
      </c>
      <c r="C19" s="39" t="s">
        <v>124</v>
      </c>
      <c r="D19" s="72">
        <v>0</v>
      </c>
      <c r="E19" s="72"/>
      <c r="F19" s="72"/>
      <c r="G19" s="72"/>
      <c r="H19" s="72"/>
      <c r="I19" s="72"/>
      <c r="J19" s="73"/>
    </row>
    <row r="20" spans="2:11" ht="13.15" x14ac:dyDescent="0.4">
      <c r="B20" s="27" t="s">
        <v>69</v>
      </c>
      <c r="C20" s="40" t="s">
        <v>70</v>
      </c>
      <c r="D20" s="74"/>
      <c r="E20" s="74"/>
      <c r="F20" s="74"/>
      <c r="G20" s="74"/>
      <c r="H20" s="74"/>
      <c r="I20" s="74"/>
      <c r="J20" s="75">
        <f>SUM(D20:I20)</f>
        <v>0</v>
      </c>
    </row>
    <row r="21" spans="2:11" ht="14.25" x14ac:dyDescent="0.45">
      <c r="B21" s="54" t="s">
        <v>82</v>
      </c>
      <c r="C21" s="32" t="s">
        <v>115</v>
      </c>
      <c r="D21" s="31">
        <f t="shared" ref="D21" si="4">SUM(D16:D20)</f>
        <v>0</v>
      </c>
      <c r="E21" s="31"/>
      <c r="F21" s="31"/>
      <c r="G21" s="31"/>
      <c r="H21" s="31"/>
      <c r="I21" s="84">
        <v>38000</v>
      </c>
      <c r="J21" s="85">
        <f>I21</f>
        <v>38000</v>
      </c>
    </row>
    <row r="22" spans="2:11" x14ac:dyDescent="0.35">
      <c r="D22" s="7"/>
      <c r="E22" s="7"/>
      <c r="F22" s="7"/>
      <c r="G22" s="7"/>
      <c r="H22" s="7"/>
      <c r="I22" s="7"/>
      <c r="J22" s="7"/>
    </row>
    <row r="23" spans="2:11" x14ac:dyDescent="0.35">
      <c r="D23" s="7"/>
      <c r="E23" s="7"/>
      <c r="F23" s="7"/>
      <c r="G23" s="7"/>
      <c r="H23" s="7"/>
      <c r="I23" s="7"/>
      <c r="J23" s="7"/>
      <c r="K23" s="7"/>
    </row>
    <row r="24" spans="2:11" ht="14.25" x14ac:dyDescent="0.45">
      <c r="C24" s="30" t="s">
        <v>122</v>
      </c>
      <c r="D24" s="7"/>
      <c r="E24" s="7"/>
      <c r="F24" s="7"/>
      <c r="G24" s="7"/>
      <c r="H24" s="7"/>
      <c r="I24" s="7"/>
      <c r="J24" s="7"/>
      <c r="K24" s="7"/>
    </row>
    <row r="25" spans="2:11" x14ac:dyDescent="0.35">
      <c r="D25" s="7"/>
      <c r="E25" s="7"/>
      <c r="F25" s="7"/>
      <c r="G25" s="7"/>
      <c r="H25" s="7"/>
      <c r="I25" s="7"/>
      <c r="J25" s="7"/>
      <c r="K25" s="7"/>
    </row>
    <row r="26" spans="2:11" x14ac:dyDescent="0.35">
      <c r="D26" s="7"/>
      <c r="E26" s="7"/>
      <c r="F26" s="7"/>
      <c r="G26" s="7"/>
      <c r="H26" s="7"/>
      <c r="I26" s="7"/>
      <c r="J26" s="7"/>
      <c r="K26" s="7"/>
    </row>
    <row r="27" spans="2:11" x14ac:dyDescent="0.35">
      <c r="D27" s="7"/>
      <c r="E27" s="7"/>
      <c r="F27" s="7"/>
      <c r="G27" s="7"/>
      <c r="H27" s="7"/>
      <c r="I27" s="7"/>
      <c r="J27" s="7"/>
      <c r="K27" s="7"/>
    </row>
    <row r="28" spans="2:11" x14ac:dyDescent="0.35">
      <c r="D28" s="7"/>
      <c r="E28" s="7"/>
      <c r="F28" s="7"/>
      <c r="G28" s="7"/>
      <c r="H28" s="7"/>
      <c r="I28" s="7"/>
      <c r="J28" s="7"/>
      <c r="K28" s="7"/>
    </row>
    <row r="29" spans="2:11" x14ac:dyDescent="0.35">
      <c r="D29" s="7"/>
      <c r="E29" s="7"/>
      <c r="F29" s="7"/>
      <c r="G29" s="7"/>
      <c r="H29" s="7"/>
      <c r="I29" s="7"/>
      <c r="J29" s="7"/>
      <c r="K29" s="7"/>
    </row>
    <row r="30" spans="2:11" x14ac:dyDescent="0.35">
      <c r="D30" s="7"/>
      <c r="E30" s="7"/>
      <c r="F30" s="7"/>
      <c r="G30" s="7"/>
      <c r="H30" s="7"/>
      <c r="I30" s="7"/>
      <c r="J30" s="7"/>
      <c r="K30" s="7"/>
    </row>
    <row r="31" spans="2:11" x14ac:dyDescent="0.35">
      <c r="D31" s="7"/>
      <c r="E31" s="7"/>
      <c r="F31" s="7"/>
      <c r="G31" s="7"/>
      <c r="H31" s="7"/>
      <c r="I31" s="7"/>
      <c r="J31" s="7"/>
      <c r="K31" s="7"/>
    </row>
    <row r="32" spans="2:11" x14ac:dyDescent="0.35">
      <c r="D32" s="7"/>
      <c r="E32" s="7"/>
      <c r="F32" s="7"/>
      <c r="G32" s="7"/>
      <c r="H32" s="7"/>
      <c r="I32" s="7"/>
      <c r="J32" s="7"/>
      <c r="K32" s="7"/>
    </row>
    <row r="33" spans="3:11" x14ac:dyDescent="0.35">
      <c r="D33" s="1"/>
      <c r="E33" s="1"/>
      <c r="F33" s="1"/>
      <c r="G33" s="1"/>
      <c r="H33" s="1"/>
      <c r="I33" s="1"/>
      <c r="J33" s="1"/>
      <c r="K33" s="1"/>
    </row>
    <row r="34" spans="3:11" x14ac:dyDescent="0.35">
      <c r="C34" s="16" t="s">
        <v>89</v>
      </c>
      <c r="D34" s="18"/>
      <c r="E34" s="18"/>
      <c r="F34" s="18"/>
      <c r="G34" s="18"/>
      <c r="H34" s="18"/>
      <c r="I34" s="18"/>
      <c r="J34" s="18"/>
      <c r="K34" s="18"/>
    </row>
    <row r="35" spans="3:11" x14ac:dyDescent="0.35">
      <c r="C35" s="17" t="s">
        <v>90</v>
      </c>
      <c r="D35" s="18"/>
      <c r="E35" s="18"/>
      <c r="F35" s="18"/>
      <c r="G35" s="18"/>
      <c r="H35" s="18"/>
      <c r="I35" s="18"/>
      <c r="J35" s="18"/>
      <c r="K35" s="18"/>
    </row>
    <row r="36" spans="3:11" x14ac:dyDescent="0.35">
      <c r="C36" s="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CEE0-BF6F-4890-95AD-EE7E49D929B5}">
  <dimension ref="A1:AB27"/>
  <sheetViews>
    <sheetView tabSelected="1" zoomScale="115" zoomScaleNormal="115" workbookViewId="0">
      <selection activeCell="H11" sqref="H11"/>
    </sheetView>
  </sheetViews>
  <sheetFormatPr defaultRowHeight="12.75" x14ac:dyDescent="0.35"/>
  <cols>
    <col min="1" max="1" width="2" bestFit="1" customWidth="1"/>
    <col min="2" max="2" width="12.59765625" customWidth="1"/>
    <col min="3" max="3" width="12.265625" customWidth="1"/>
    <col min="4" max="4" width="15.1328125" customWidth="1"/>
    <col min="5" max="5" width="11.86328125" customWidth="1"/>
    <col min="6" max="6" width="11.46484375" customWidth="1"/>
    <col min="7" max="7" width="15.46484375" customWidth="1"/>
    <col min="8" max="8" width="14.796875" customWidth="1"/>
    <col min="9" max="9" width="13.73046875" bestFit="1" customWidth="1"/>
    <col min="10" max="11" width="13.73046875" customWidth="1"/>
    <col min="12" max="12" width="10" customWidth="1"/>
    <col min="13" max="13" width="11.73046875" bestFit="1" customWidth="1"/>
    <col min="14" max="14" width="9.796875" customWidth="1"/>
    <col min="15" max="15" width="18.19921875" customWidth="1"/>
    <col min="16" max="16" width="29.59765625" customWidth="1"/>
    <col min="17" max="17" width="14.86328125" customWidth="1"/>
    <col min="18" max="18" width="11.59765625" customWidth="1"/>
    <col min="19" max="19" width="12.86328125" bestFit="1" customWidth="1"/>
    <col min="20" max="20" width="13.265625" bestFit="1" customWidth="1"/>
    <col min="21" max="21" width="8" bestFit="1" customWidth="1"/>
  </cols>
  <sheetData>
    <row r="1" spans="1:28" ht="14.25" x14ac:dyDescent="0.45">
      <c r="B1" s="19" t="s">
        <v>72</v>
      </c>
      <c r="C1" s="19" t="s">
        <v>73</v>
      </c>
      <c r="D1" s="19" t="s">
        <v>74</v>
      </c>
      <c r="E1" s="19" t="s">
        <v>75</v>
      </c>
      <c r="F1" s="14"/>
      <c r="G1" s="19" t="s">
        <v>76</v>
      </c>
      <c r="M1" s="63" t="s">
        <v>14</v>
      </c>
      <c r="N1" s="63"/>
      <c r="O1" s="64"/>
      <c r="P1" s="64"/>
      <c r="Q1" s="64"/>
      <c r="R1" s="64"/>
      <c r="S1" s="64"/>
      <c r="T1" s="64"/>
      <c r="U1" s="64"/>
    </row>
    <row r="2" spans="1:28" ht="15.75" x14ac:dyDescent="0.5">
      <c r="B2" s="9"/>
      <c r="C2" s="9" t="str">
        <f>EnergyBalance!D2</f>
        <v>DIESEL</v>
      </c>
      <c r="D2" s="9" t="str">
        <f>EnergyBalance!D3</f>
        <v>Diesel (Imported)</v>
      </c>
      <c r="E2" s="9" t="str">
        <f>EnergyBalance!P2</f>
        <v>MWh</v>
      </c>
      <c r="G2" s="9" t="str">
        <f>EnergyBalance!O2</f>
        <v>MUSD$25</v>
      </c>
      <c r="M2" s="65" t="s">
        <v>7</v>
      </c>
      <c r="N2" s="66" t="s">
        <v>30</v>
      </c>
      <c r="O2" s="65" t="s">
        <v>0</v>
      </c>
      <c r="P2" s="65" t="s">
        <v>3</v>
      </c>
      <c r="Q2" s="65" t="s">
        <v>4</v>
      </c>
      <c r="R2" s="65" t="s">
        <v>8</v>
      </c>
      <c r="S2" s="65" t="s">
        <v>9</v>
      </c>
      <c r="T2" s="65" t="s">
        <v>10</v>
      </c>
      <c r="U2" s="65" t="s">
        <v>12</v>
      </c>
    </row>
    <row r="3" spans="1:28" ht="21" thickBot="1" x14ac:dyDescent="0.4">
      <c r="C3" t="str">
        <f>EnergyBalance!E2</f>
        <v>BIODIESEL</v>
      </c>
      <c r="D3" s="14" t="str">
        <f>EnergyBalance!E3</f>
        <v>Biodiesel</v>
      </c>
      <c r="E3" t="str">
        <f>E2</f>
        <v>MWh</v>
      </c>
      <c r="G3" t="str">
        <f>G2</f>
        <v>MUSD$25</v>
      </c>
      <c r="M3" s="67" t="s">
        <v>36</v>
      </c>
      <c r="N3" s="67" t="s">
        <v>31</v>
      </c>
      <c r="O3" s="67" t="s">
        <v>26</v>
      </c>
      <c r="P3" s="67" t="s">
        <v>27</v>
      </c>
      <c r="Q3" s="67" t="s">
        <v>4</v>
      </c>
      <c r="R3" s="67" t="s">
        <v>39</v>
      </c>
      <c r="S3" s="67" t="s">
        <v>40</v>
      </c>
      <c r="T3" s="67" t="s">
        <v>28</v>
      </c>
      <c r="U3" s="67" t="s">
        <v>29</v>
      </c>
    </row>
    <row r="4" spans="1:28" x14ac:dyDescent="0.35">
      <c r="C4" t="str">
        <f>EnergyBalance!F2</f>
        <v>SPV</v>
      </c>
      <c r="D4" t="str">
        <f>EnergyBalance!F3</f>
        <v>Solar PV</v>
      </c>
      <c r="E4" t="str">
        <f>E3</f>
        <v>MWh</v>
      </c>
      <c r="G4" t="str">
        <f t="shared" ref="G4:G6" si="0">G3</f>
        <v>MUSD$25</v>
      </c>
      <c r="M4" s="64" t="s">
        <v>71</v>
      </c>
      <c r="N4" s="68" t="str">
        <f>EnergyBalance!$O$5</f>
        <v>NAURU</v>
      </c>
      <c r="O4" s="64" t="str">
        <f t="shared" ref="O4:P8" si="1">C2</f>
        <v>DIESEL</v>
      </c>
      <c r="P4" s="64" t="str">
        <f t="shared" si="1"/>
        <v>Diesel (Imported)</v>
      </c>
      <c r="Q4" s="64" t="str">
        <f>$E$2</f>
        <v>MWh</v>
      </c>
      <c r="R4" s="86" t="s">
        <v>149</v>
      </c>
      <c r="S4" s="86" t="s">
        <v>144</v>
      </c>
      <c r="T4" s="64"/>
      <c r="U4" s="86" t="s">
        <v>43</v>
      </c>
    </row>
    <row r="5" spans="1:28" x14ac:dyDescent="0.35">
      <c r="C5" t="str">
        <f>EnergyBalance!G2</f>
        <v>WIND</v>
      </c>
      <c r="D5" t="str">
        <f>EnergyBalance!G3</f>
        <v>Wind Energy</v>
      </c>
      <c r="E5" t="str">
        <f>E4</f>
        <v>MWh</v>
      </c>
      <c r="G5" t="str">
        <f t="shared" si="0"/>
        <v>MUSD$25</v>
      </c>
      <c r="M5" s="64" t="s">
        <v>71</v>
      </c>
      <c r="N5" s="68" t="str">
        <f>EnergyBalance!$O$5</f>
        <v>NAURU</v>
      </c>
      <c r="O5" s="64" t="str">
        <f t="shared" si="1"/>
        <v>BIODIESEL</v>
      </c>
      <c r="P5" s="64" t="str">
        <f t="shared" si="1"/>
        <v>Biodiesel</v>
      </c>
      <c r="Q5" s="64" t="str">
        <f>$E$2</f>
        <v>MWh</v>
      </c>
      <c r="R5" s="86" t="s">
        <v>149</v>
      </c>
      <c r="S5" s="86" t="s">
        <v>144</v>
      </c>
      <c r="T5" s="64"/>
      <c r="U5" s="86" t="s">
        <v>43</v>
      </c>
    </row>
    <row r="6" spans="1:28" x14ac:dyDescent="0.35">
      <c r="C6" t="str">
        <f>EnergyBalance!I2</f>
        <v>ELC</v>
      </c>
      <c r="D6" t="str">
        <f>EnergyBalance!I3</f>
        <v>Electricity</v>
      </c>
      <c r="E6" t="str">
        <f>E5</f>
        <v>MWh</v>
      </c>
      <c r="G6" t="str">
        <f t="shared" si="0"/>
        <v>MUSD$25</v>
      </c>
      <c r="M6" s="64" t="s">
        <v>71</v>
      </c>
      <c r="N6" s="68" t="str">
        <f>EnergyBalance!$O$5</f>
        <v>NAURU</v>
      </c>
      <c r="O6" s="64" t="str">
        <f t="shared" si="1"/>
        <v>SPV</v>
      </c>
      <c r="P6" s="64" t="str">
        <f t="shared" si="1"/>
        <v>Solar PV</v>
      </c>
      <c r="Q6" s="64" t="str">
        <f>$E$2</f>
        <v>MWh</v>
      </c>
      <c r="R6" s="86" t="s">
        <v>149</v>
      </c>
      <c r="S6" s="86" t="s">
        <v>144</v>
      </c>
      <c r="T6" s="64"/>
      <c r="U6" s="86" t="s">
        <v>43</v>
      </c>
    </row>
    <row r="7" spans="1:28" x14ac:dyDescent="0.35">
      <c r="M7" s="64" t="s">
        <v>71</v>
      </c>
      <c r="N7" s="68" t="str">
        <f>EnergyBalance!$O$5</f>
        <v>NAURU</v>
      </c>
      <c r="O7" s="64" t="str">
        <f t="shared" si="1"/>
        <v>WIND</v>
      </c>
      <c r="P7" s="64" t="str">
        <f t="shared" si="1"/>
        <v>Wind Energy</v>
      </c>
      <c r="Q7" s="64" t="str">
        <f>$E$2</f>
        <v>MWh</v>
      </c>
      <c r="R7" s="86" t="s">
        <v>149</v>
      </c>
      <c r="S7" s="86" t="s">
        <v>144</v>
      </c>
      <c r="T7" s="64"/>
      <c r="U7" s="86" t="s">
        <v>43</v>
      </c>
    </row>
    <row r="8" spans="1:28" x14ac:dyDescent="0.35">
      <c r="M8" s="64" t="s">
        <v>71</v>
      </c>
      <c r="N8" s="68" t="str">
        <f>EnergyBalance!$O$5</f>
        <v>NAURU</v>
      </c>
      <c r="O8" s="64" t="str">
        <f t="shared" si="1"/>
        <v>ELC</v>
      </c>
      <c r="P8" s="64" t="str">
        <f t="shared" si="1"/>
        <v>Electricity</v>
      </c>
      <c r="Q8" s="64" t="str">
        <f>$E$2</f>
        <v>MWh</v>
      </c>
      <c r="R8" s="86" t="s">
        <v>149</v>
      </c>
      <c r="S8" s="86" t="s">
        <v>144</v>
      </c>
      <c r="T8" s="64"/>
      <c r="U8" s="86" t="s">
        <v>43</v>
      </c>
    </row>
    <row r="9" spans="1:28" x14ac:dyDescent="0.35">
      <c r="M9" s="76" t="s">
        <v>132</v>
      </c>
      <c r="N9" s="68" t="str">
        <f>EnergyBalance!$O$5</f>
        <v>NAURU</v>
      </c>
      <c r="O9" s="76" t="s">
        <v>148</v>
      </c>
      <c r="P9" s="76" t="s">
        <v>133</v>
      </c>
      <c r="Q9" s="76" t="s">
        <v>162</v>
      </c>
      <c r="R9" s="86" t="s">
        <v>149</v>
      </c>
      <c r="S9" s="86" t="s">
        <v>144</v>
      </c>
      <c r="T9" s="64"/>
      <c r="U9" s="86" t="s">
        <v>43</v>
      </c>
    </row>
    <row r="10" spans="1:28" x14ac:dyDescent="0.35">
      <c r="M10" s="64"/>
      <c r="N10" s="68"/>
      <c r="Q10" s="64"/>
      <c r="R10" s="86"/>
      <c r="S10" s="86"/>
      <c r="U10" s="86"/>
    </row>
    <row r="13" spans="1:28" ht="13.15" x14ac:dyDescent="0.4">
      <c r="D13" s="5" t="s">
        <v>13</v>
      </c>
      <c r="H13" s="5"/>
    </row>
    <row r="14" spans="1:28" ht="13.15" x14ac:dyDescent="0.4">
      <c r="B14" s="2" t="s">
        <v>1</v>
      </c>
      <c r="C14" s="13" t="s">
        <v>5</v>
      </c>
      <c r="D14" s="2" t="s">
        <v>6</v>
      </c>
      <c r="E14" s="2" t="s">
        <v>157</v>
      </c>
      <c r="F14" s="2" t="s">
        <v>159</v>
      </c>
      <c r="G14" s="62" t="s">
        <v>166</v>
      </c>
      <c r="H14" s="62" t="s">
        <v>167</v>
      </c>
      <c r="I14" s="62" t="s">
        <v>107</v>
      </c>
      <c r="J14" s="91" t="s">
        <v>160</v>
      </c>
      <c r="K14" s="88"/>
      <c r="M14" s="63" t="s">
        <v>15</v>
      </c>
      <c r="N14" s="63"/>
      <c r="O14" s="68"/>
      <c r="P14" s="68"/>
      <c r="Q14" s="68"/>
      <c r="R14" s="68"/>
      <c r="S14" s="68"/>
      <c r="T14" s="68"/>
      <c r="U14" s="68"/>
    </row>
    <row r="15" spans="1:28" ht="24.4" customHeight="1" thickBot="1" x14ac:dyDescent="0.45">
      <c r="B15" s="77" t="s">
        <v>38</v>
      </c>
      <c r="C15" s="77" t="s">
        <v>32</v>
      </c>
      <c r="D15" s="77" t="s">
        <v>33</v>
      </c>
      <c r="E15" s="77" t="s">
        <v>158</v>
      </c>
      <c r="F15" s="77"/>
      <c r="G15" s="78" t="s">
        <v>131</v>
      </c>
      <c r="H15" s="78" t="s">
        <v>163</v>
      </c>
      <c r="I15" s="78" t="s">
        <v>107</v>
      </c>
      <c r="J15" s="78" t="s">
        <v>161</v>
      </c>
      <c r="K15" s="89"/>
      <c r="M15" s="65" t="s">
        <v>11</v>
      </c>
      <c r="N15" s="66" t="s">
        <v>30</v>
      </c>
      <c r="O15" s="65" t="s">
        <v>1</v>
      </c>
      <c r="P15" s="65" t="s">
        <v>2</v>
      </c>
      <c r="Q15" s="65" t="s">
        <v>16</v>
      </c>
      <c r="R15" s="65" t="s">
        <v>17</v>
      </c>
      <c r="S15" s="65" t="s">
        <v>18</v>
      </c>
      <c r="T15" s="65" t="s">
        <v>19</v>
      </c>
      <c r="U15" s="65" t="s">
        <v>20</v>
      </c>
    </row>
    <row r="16" spans="1:28" s="1" customFormat="1" ht="21" thickBot="1" x14ac:dyDescent="0.4">
      <c r="A16"/>
      <c r="B16" s="11" t="s">
        <v>83</v>
      </c>
      <c r="C16" s="10"/>
      <c r="D16" s="10"/>
      <c r="E16" s="10" t="s">
        <v>121</v>
      </c>
      <c r="F16" s="10" t="s">
        <v>121</v>
      </c>
      <c r="G16" s="10" t="s">
        <v>141</v>
      </c>
      <c r="H16" s="10" t="s">
        <v>141</v>
      </c>
      <c r="I16" s="10"/>
      <c r="J16" s="69" t="str">
        <f>Q9</f>
        <v>tCO2e per MWh</v>
      </c>
      <c r="K16" s="90"/>
      <c r="L16"/>
      <c r="M16" s="67" t="s">
        <v>37</v>
      </c>
      <c r="N16" s="67" t="s">
        <v>31</v>
      </c>
      <c r="O16" s="67" t="s">
        <v>21</v>
      </c>
      <c r="P16" s="67" t="s">
        <v>22</v>
      </c>
      <c r="Q16" s="67" t="s">
        <v>23</v>
      </c>
      <c r="R16" s="67" t="s">
        <v>24</v>
      </c>
      <c r="S16" s="67" t="s">
        <v>42</v>
      </c>
      <c r="T16" s="67" t="s">
        <v>41</v>
      </c>
      <c r="U16" s="67" t="s">
        <v>25</v>
      </c>
      <c r="V16"/>
      <c r="W16"/>
      <c r="X16"/>
      <c r="Y16"/>
      <c r="Z16"/>
      <c r="AA16"/>
      <c r="AB16"/>
    </row>
    <row r="17" spans="2:21" ht="13.15" thickBot="1" x14ac:dyDescent="0.4">
      <c r="B17" s="64" t="str">
        <f>O18</f>
        <v>DIE-to-ELC</v>
      </c>
      <c r="C17" s="1" t="str">
        <f>EnergyBalance!D2</f>
        <v>DIESEL</v>
      </c>
      <c r="D17" s="76" t="s">
        <v>43</v>
      </c>
      <c r="E17" s="1"/>
      <c r="F17" s="1"/>
      <c r="G17" s="82">
        <v>300</v>
      </c>
      <c r="H17" s="82">
        <v>1200</v>
      </c>
      <c r="I17" s="81">
        <v>0.35</v>
      </c>
      <c r="J17" s="93">
        <v>0.75</v>
      </c>
      <c r="K17" s="81"/>
      <c r="M17" s="67" t="s">
        <v>78</v>
      </c>
      <c r="N17" s="69"/>
      <c r="O17" s="69"/>
      <c r="P17" s="69"/>
      <c r="Q17" s="69"/>
      <c r="R17" s="69"/>
      <c r="S17" s="69"/>
      <c r="T17" s="69"/>
      <c r="U17" s="69"/>
    </row>
    <row r="18" spans="2:21" x14ac:dyDescent="0.35">
      <c r="B18" s="64" t="str">
        <f>O19</f>
        <v>BIO-to-ELC</v>
      </c>
      <c r="C18" s="1" t="str">
        <f>C3</f>
        <v>BIODIESEL</v>
      </c>
      <c r="D18" s="76" t="s">
        <v>43</v>
      </c>
      <c r="E18" s="1"/>
      <c r="F18" s="1"/>
      <c r="G18" s="82">
        <v>700</v>
      </c>
      <c r="H18" s="82">
        <v>1000</v>
      </c>
      <c r="I18" s="81">
        <v>0.35</v>
      </c>
      <c r="J18" s="93">
        <v>0</v>
      </c>
      <c r="K18" s="81"/>
      <c r="M18" s="68" t="s">
        <v>145</v>
      </c>
      <c r="N18" s="68" t="str">
        <f>N4</f>
        <v>NAURU</v>
      </c>
      <c r="O18" s="68" t="s">
        <v>137</v>
      </c>
      <c r="P18" s="87" t="s">
        <v>151</v>
      </c>
      <c r="Q18" s="68" t="str">
        <f>$E$2</f>
        <v>MWh</v>
      </c>
      <c r="R18" s="68" t="s">
        <v>130</v>
      </c>
      <c r="S18" s="68" t="s">
        <v>144</v>
      </c>
      <c r="T18" s="68"/>
      <c r="U18" s="68"/>
    </row>
    <row r="19" spans="2:21" x14ac:dyDescent="0.35">
      <c r="B19" s="64" t="str">
        <f>O20</f>
        <v>SPV-to-ELC</v>
      </c>
      <c r="C19" s="1" t="str">
        <f>C4</f>
        <v>SPV</v>
      </c>
      <c r="D19" s="76" t="s">
        <v>43</v>
      </c>
      <c r="E19" s="1"/>
      <c r="F19" s="1"/>
      <c r="G19" s="82">
        <v>100</v>
      </c>
      <c r="H19" s="82">
        <v>180</v>
      </c>
      <c r="I19" s="81">
        <v>1</v>
      </c>
      <c r="J19" s="82"/>
      <c r="K19" s="81"/>
      <c r="M19" s="68" t="s">
        <v>145</v>
      </c>
      <c r="N19" s="68" t="str">
        <f>N5</f>
        <v>NAURU</v>
      </c>
      <c r="O19" s="68" t="s">
        <v>138</v>
      </c>
      <c r="P19" s="87" t="s">
        <v>152</v>
      </c>
      <c r="Q19" s="68" t="str">
        <f t="shared" ref="Q19:Q22" si="2">$E$2</f>
        <v>MWh</v>
      </c>
      <c r="R19" s="68" t="s">
        <v>130</v>
      </c>
      <c r="S19" s="68" t="s">
        <v>144</v>
      </c>
      <c r="T19" s="68"/>
      <c r="U19" s="68"/>
    </row>
    <row r="20" spans="2:21" x14ac:dyDescent="0.35">
      <c r="B20" s="64" t="str">
        <f>O21</f>
        <v>WIND-to-ELC</v>
      </c>
      <c r="C20" s="1" t="str">
        <f>C5</f>
        <v>WIND</v>
      </c>
      <c r="D20" s="76" t="s">
        <v>43</v>
      </c>
      <c r="E20" s="1"/>
      <c r="F20" s="1"/>
      <c r="G20" s="82">
        <v>150</v>
      </c>
      <c r="H20" s="82">
        <v>400</v>
      </c>
      <c r="I20" s="81">
        <v>1</v>
      </c>
      <c r="J20" s="82"/>
      <c r="K20" s="81"/>
      <c r="M20" s="76" t="s">
        <v>156</v>
      </c>
      <c r="N20" s="68" t="str">
        <f>N6</f>
        <v>NAURU</v>
      </c>
      <c r="O20" s="68" t="s">
        <v>139</v>
      </c>
      <c r="P20" s="87" t="s">
        <v>153</v>
      </c>
      <c r="Q20" s="68" t="str">
        <f t="shared" si="2"/>
        <v>MWh</v>
      </c>
      <c r="R20" s="68" t="s">
        <v>130</v>
      </c>
      <c r="S20" s="68" t="s">
        <v>144</v>
      </c>
      <c r="T20" s="68"/>
      <c r="U20" s="68"/>
    </row>
    <row r="21" spans="2:21" x14ac:dyDescent="0.35">
      <c r="B21" s="64" t="str">
        <f>O22</f>
        <v>BESS-to-ELC</v>
      </c>
      <c r="C21" s="64" t="str">
        <f>O8</f>
        <v>ELC</v>
      </c>
      <c r="D21" s="76" t="str">
        <f>O8</f>
        <v>ELC</v>
      </c>
      <c r="E21" s="1"/>
      <c r="F21" s="1"/>
      <c r="G21" s="82">
        <v>250</v>
      </c>
      <c r="H21" s="82">
        <v>400</v>
      </c>
      <c r="I21" s="81">
        <v>0.9</v>
      </c>
      <c r="J21" s="82"/>
      <c r="K21" s="81"/>
      <c r="M21" s="76" t="s">
        <v>156</v>
      </c>
      <c r="N21" s="68" t="str">
        <f>N7</f>
        <v>NAURU</v>
      </c>
      <c r="O21" s="68" t="s">
        <v>140</v>
      </c>
      <c r="P21" s="87" t="s">
        <v>154</v>
      </c>
      <c r="Q21" s="68" t="str">
        <f t="shared" si="2"/>
        <v>MWh</v>
      </c>
      <c r="R21" s="68" t="s">
        <v>130</v>
      </c>
      <c r="S21" s="68" t="s">
        <v>144</v>
      </c>
      <c r="T21" s="68"/>
      <c r="U21" s="68"/>
    </row>
    <row r="22" spans="2:21" x14ac:dyDescent="0.35">
      <c r="B22" s="1"/>
      <c r="C22" s="1"/>
      <c r="D22" s="76"/>
      <c r="E22" s="1"/>
      <c r="F22" s="1"/>
      <c r="G22" s="82"/>
      <c r="H22" s="82"/>
      <c r="I22" s="81"/>
      <c r="J22" s="82"/>
      <c r="K22" s="81"/>
      <c r="M22" s="76" t="s">
        <v>150</v>
      </c>
      <c r="N22" s="68" t="str">
        <f>N8</f>
        <v>NAURU</v>
      </c>
      <c r="O22" s="68" t="s">
        <v>146</v>
      </c>
      <c r="P22" s="87" t="s">
        <v>155</v>
      </c>
      <c r="Q22" s="68" t="str">
        <f t="shared" si="2"/>
        <v>MWh</v>
      </c>
      <c r="R22" s="68" t="s">
        <v>130</v>
      </c>
      <c r="S22" s="68" t="s">
        <v>144</v>
      </c>
      <c r="T22" s="68"/>
      <c r="U22" s="68"/>
    </row>
    <row r="23" spans="2:21" x14ac:dyDescent="0.35">
      <c r="B23" s="68"/>
      <c r="C23" s="76"/>
      <c r="D23" s="76"/>
      <c r="E23" s="1"/>
      <c r="F23" s="1"/>
      <c r="G23" s="82"/>
      <c r="H23" s="82"/>
      <c r="I23" s="81"/>
      <c r="J23" s="82"/>
      <c r="K23" s="81"/>
    </row>
    <row r="24" spans="2:21" x14ac:dyDescent="0.35">
      <c r="E24" s="1"/>
      <c r="F24" s="1"/>
      <c r="G24" s="82"/>
      <c r="H24" s="82"/>
      <c r="I24" s="81"/>
      <c r="J24" s="82"/>
      <c r="K24" s="81"/>
    </row>
    <row r="26" spans="2:21" x14ac:dyDescent="0.35">
      <c r="B26" s="42"/>
      <c r="C26" s="1" t="s">
        <v>93</v>
      </c>
    </row>
    <row r="27" spans="2:21" x14ac:dyDescent="0.35">
      <c r="B27" s="41"/>
      <c r="C27" s="1" t="s">
        <v>94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7F31-1283-4489-99F4-5A55BCDBA662}">
  <dimension ref="B2:P16"/>
  <sheetViews>
    <sheetView zoomScale="85" zoomScaleNormal="85" workbookViewId="0">
      <selection activeCell="S18" sqref="S18"/>
    </sheetView>
  </sheetViews>
  <sheetFormatPr defaultRowHeight="12.75" x14ac:dyDescent="0.35"/>
  <cols>
    <col min="1" max="1" width="1.86328125" customWidth="1"/>
    <col min="2" max="2" width="7.73046875" customWidth="1"/>
    <col min="3" max="3" width="6.86328125" customWidth="1"/>
    <col min="12" max="12" width="6.73046875" customWidth="1"/>
    <col min="14" max="14" width="5.3984375" customWidth="1"/>
  </cols>
  <sheetData>
    <row r="2" spans="2:16" ht="17.649999999999999" x14ac:dyDescent="0.5">
      <c r="B2" s="43" t="s">
        <v>96</v>
      </c>
      <c r="K2" s="43" t="s">
        <v>119</v>
      </c>
    </row>
    <row r="3" spans="2:16" ht="17.649999999999999" x14ac:dyDescent="0.5">
      <c r="K3" s="43" t="s">
        <v>120</v>
      </c>
    </row>
    <row r="4" spans="2:16" ht="13.15" x14ac:dyDescent="0.4">
      <c r="B4" s="20" t="s">
        <v>117</v>
      </c>
    </row>
    <row r="14" spans="2:16" ht="17.649999999999999" x14ac:dyDescent="0.5">
      <c r="B14" s="43" t="s">
        <v>95</v>
      </c>
    </row>
    <row r="16" spans="2:16" ht="13.15" x14ac:dyDescent="0.4">
      <c r="D16" s="44" t="s">
        <v>116</v>
      </c>
      <c r="E16" s="44"/>
      <c r="F16" s="44"/>
      <c r="G16" s="44"/>
      <c r="H16" s="44"/>
      <c r="I16" s="44"/>
      <c r="J16" s="44"/>
      <c r="K16" s="44"/>
      <c r="L16" s="20"/>
      <c r="M16" s="20"/>
      <c r="N16" s="20"/>
      <c r="O16" s="20"/>
      <c r="P16" s="20"/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E43D-2D90-4CAB-B826-3A9042067FCC}">
  <dimension ref="B1:T32"/>
  <sheetViews>
    <sheetView zoomScaleNormal="100" workbookViewId="0">
      <selection activeCell="H32" sqref="H32"/>
    </sheetView>
  </sheetViews>
  <sheetFormatPr defaultRowHeight="12.75" x14ac:dyDescent="0.35"/>
  <cols>
    <col min="1" max="1" width="3" customWidth="1"/>
    <col min="2" max="2" width="12.1328125" bestFit="1" customWidth="1"/>
    <col min="3" max="3" width="15" customWidth="1"/>
    <col min="4" max="4" width="13.86328125" bestFit="1" customWidth="1"/>
    <col min="5" max="5" width="12.265625" bestFit="1" customWidth="1"/>
    <col min="6" max="6" width="12.1328125" bestFit="1" customWidth="1"/>
    <col min="7" max="7" width="8.46484375" customWidth="1"/>
    <col min="8" max="8" width="9.796875" customWidth="1"/>
    <col min="9" max="9" width="9.265625" bestFit="1" customWidth="1"/>
    <col min="10" max="10" width="8" bestFit="1" customWidth="1"/>
    <col min="11" max="11" width="2.73046875" customWidth="1"/>
    <col min="12" max="12" width="12.73046875" customWidth="1"/>
    <col min="13" max="13" width="7.1328125" customWidth="1"/>
    <col min="14" max="14" width="11.3984375" bestFit="1" customWidth="1"/>
    <col min="15" max="15" width="44.33203125" customWidth="1"/>
    <col min="16" max="16" width="6.86328125" customWidth="1"/>
    <col min="17" max="17" width="11.73046875" customWidth="1"/>
    <col min="18" max="18" width="13.3984375" customWidth="1"/>
    <col min="19" max="19" width="13.86328125" customWidth="1"/>
    <col min="20" max="20" width="8.3984375" customWidth="1"/>
  </cols>
  <sheetData>
    <row r="1" spans="2:20" ht="14.25" x14ac:dyDescent="0.45">
      <c r="B1" s="8" t="s">
        <v>72</v>
      </c>
      <c r="C1" s="8" t="s">
        <v>74</v>
      </c>
      <c r="D1" s="8" t="s">
        <v>97</v>
      </c>
      <c r="E1" s="8" t="s">
        <v>75</v>
      </c>
      <c r="F1" s="8" t="s">
        <v>76</v>
      </c>
      <c r="H1" s="8" t="s">
        <v>98</v>
      </c>
    </row>
    <row r="2" spans="2:20" ht="31.5" x14ac:dyDescent="0.5">
      <c r="B2" s="9" t="str">
        <f>EnergyBalance!B8</f>
        <v>TPS</v>
      </c>
      <c r="C2" s="45" t="str">
        <f>EnergyBalance!C8</f>
        <v>Total Primary Supply</v>
      </c>
      <c r="D2" s="45" t="str">
        <f>"Demand Technology"</f>
        <v>Demand Technology</v>
      </c>
      <c r="E2" s="9" t="str">
        <f>EnergyBalance!P2</f>
        <v>MWh</v>
      </c>
      <c r="F2" s="9" t="str">
        <f>EnergyBalance!O2</f>
        <v>MUSD$25</v>
      </c>
      <c r="H2" s="9" t="s">
        <v>99</v>
      </c>
      <c r="L2" s="63" t="s">
        <v>14</v>
      </c>
      <c r="M2" s="63"/>
      <c r="N2" s="64"/>
      <c r="O2" s="64"/>
      <c r="P2" s="64"/>
      <c r="Q2" s="64"/>
      <c r="R2" s="64"/>
      <c r="S2" s="64"/>
      <c r="T2" s="64"/>
    </row>
    <row r="3" spans="2:20" ht="13.15" x14ac:dyDescent="0.4">
      <c r="L3" s="65" t="s">
        <v>7</v>
      </c>
      <c r="M3" s="66" t="s">
        <v>30</v>
      </c>
      <c r="N3" s="65" t="s">
        <v>0</v>
      </c>
      <c r="O3" s="65" t="s">
        <v>3</v>
      </c>
      <c r="P3" s="65" t="s">
        <v>4</v>
      </c>
      <c r="Q3" s="65" t="s">
        <v>8</v>
      </c>
      <c r="R3" s="65" t="s">
        <v>9</v>
      </c>
      <c r="S3" s="65" t="s">
        <v>10</v>
      </c>
      <c r="T3" s="65" t="s">
        <v>12</v>
      </c>
    </row>
    <row r="4" spans="2:20" ht="23.25" customHeight="1" thickBot="1" x14ac:dyDescent="0.55000000000000004">
      <c r="B4" s="46"/>
      <c r="C4" s="46"/>
      <c r="D4" s="46"/>
      <c r="E4" s="46"/>
      <c r="F4" s="46"/>
      <c r="L4" s="67" t="s">
        <v>36</v>
      </c>
      <c r="M4" s="67" t="s">
        <v>31</v>
      </c>
      <c r="N4" s="67" t="s">
        <v>26</v>
      </c>
      <c r="O4" s="67" t="s">
        <v>27</v>
      </c>
      <c r="P4" s="67" t="s">
        <v>4</v>
      </c>
      <c r="Q4" s="67" t="s">
        <v>39</v>
      </c>
      <c r="R4" s="67" t="s">
        <v>40</v>
      </c>
      <c r="S4" s="67" t="s">
        <v>28</v>
      </c>
      <c r="T4" s="67" t="s">
        <v>29</v>
      </c>
    </row>
    <row r="5" spans="2:20" ht="18.399999999999999" customHeight="1" x14ac:dyDescent="0.5">
      <c r="B5" s="46"/>
      <c r="C5" s="46"/>
      <c r="D5" s="46"/>
      <c r="E5" s="46"/>
      <c r="F5" s="46"/>
      <c r="L5" s="64" t="s">
        <v>80</v>
      </c>
      <c r="M5" s="68"/>
      <c r="N5" s="76" t="s">
        <v>143</v>
      </c>
      <c r="O5" s="76" t="s">
        <v>142</v>
      </c>
      <c r="P5" s="64" t="str">
        <f>$E$2</f>
        <v>MWh</v>
      </c>
      <c r="Q5" s="64"/>
      <c r="R5" s="64"/>
      <c r="S5" s="64"/>
      <c r="T5" s="64"/>
    </row>
    <row r="8" spans="2:20" ht="13.15" x14ac:dyDescent="0.4">
      <c r="D8" s="5" t="s">
        <v>13</v>
      </c>
      <c r="E8" s="5"/>
      <c r="F8" s="5"/>
      <c r="H8" s="5"/>
      <c r="I8" s="47"/>
      <c r="J8" s="48"/>
      <c r="L8" s="63" t="s">
        <v>15</v>
      </c>
      <c r="M8" s="63"/>
      <c r="N8" s="68"/>
      <c r="O8" s="68"/>
      <c r="P8" s="68"/>
      <c r="Q8" s="68"/>
      <c r="R8" s="68"/>
      <c r="S8" s="68"/>
      <c r="T8" s="68"/>
    </row>
    <row r="9" spans="2:20" ht="13.15" x14ac:dyDescent="0.4">
      <c r="B9" s="50" t="s">
        <v>1</v>
      </c>
      <c r="C9" s="50" t="s">
        <v>5</v>
      </c>
      <c r="D9" s="50" t="s">
        <v>6</v>
      </c>
      <c r="E9" s="59" t="s">
        <v>100</v>
      </c>
      <c r="F9" s="50" t="s">
        <v>101</v>
      </c>
      <c r="G9" s="50" t="s">
        <v>102</v>
      </c>
      <c r="H9" s="50" t="s">
        <v>103</v>
      </c>
      <c r="I9" s="50" t="s">
        <v>104</v>
      </c>
      <c r="J9" s="59" t="s">
        <v>105</v>
      </c>
      <c r="L9" s="65" t="s">
        <v>11</v>
      </c>
      <c r="M9" s="66" t="s">
        <v>30</v>
      </c>
      <c r="N9" s="65" t="s">
        <v>1</v>
      </c>
      <c r="O9" s="65" t="s">
        <v>2</v>
      </c>
      <c r="P9" s="65" t="s">
        <v>16</v>
      </c>
      <c r="Q9" s="65" t="s">
        <v>17</v>
      </c>
      <c r="R9" s="65" t="s">
        <v>18</v>
      </c>
      <c r="S9" s="65" t="s">
        <v>19</v>
      </c>
      <c r="T9" s="65" t="s">
        <v>20</v>
      </c>
    </row>
    <row r="10" spans="2:20" ht="28.5" customHeight="1" thickBot="1" x14ac:dyDescent="0.4">
      <c r="B10" s="12" t="s">
        <v>38</v>
      </c>
      <c r="C10" s="12" t="s">
        <v>32</v>
      </c>
      <c r="D10" s="12" t="s">
        <v>33</v>
      </c>
      <c r="E10" s="12" t="s">
        <v>106</v>
      </c>
      <c r="F10" s="12" t="s">
        <v>107</v>
      </c>
      <c r="G10" s="58" t="s">
        <v>108</v>
      </c>
      <c r="H10" s="12" t="s">
        <v>109</v>
      </c>
      <c r="I10" s="12" t="s">
        <v>110</v>
      </c>
      <c r="J10" s="12" t="s">
        <v>118</v>
      </c>
      <c r="L10" s="67" t="s">
        <v>37</v>
      </c>
      <c r="M10" s="67" t="s">
        <v>31</v>
      </c>
      <c r="N10" s="67" t="s">
        <v>21</v>
      </c>
      <c r="O10" s="67" t="s">
        <v>22</v>
      </c>
      <c r="P10" s="67" t="s">
        <v>23</v>
      </c>
      <c r="Q10" s="67" t="s">
        <v>24</v>
      </c>
      <c r="R10" s="67" t="s">
        <v>42</v>
      </c>
      <c r="S10" s="67" t="s">
        <v>41</v>
      </c>
      <c r="T10" s="67" t="s">
        <v>25</v>
      </c>
    </row>
    <row r="11" spans="2:20" ht="28.15" customHeight="1" thickBot="1" x14ac:dyDescent="0.4">
      <c r="B11" s="11" t="s">
        <v>83</v>
      </c>
      <c r="C11" s="11"/>
      <c r="D11" s="11"/>
      <c r="E11" s="10" t="str">
        <f>E2&amp;"a"</f>
        <v>MWha</v>
      </c>
      <c r="F11" s="10"/>
      <c r="G11" s="51"/>
      <c r="H11" s="10" t="str">
        <f>$F$2&amp;"/"&amp;$E$2</f>
        <v>MUSD$25/MWh</v>
      </c>
      <c r="I11" s="10" t="str">
        <f>$F$2&amp;"/"&amp;$E$2&amp;"a"</f>
        <v>MUSD$25/MWha</v>
      </c>
      <c r="J11" s="10" t="s">
        <v>111</v>
      </c>
      <c r="L11" s="67" t="s">
        <v>78</v>
      </c>
      <c r="M11" s="67"/>
      <c r="N11" s="67"/>
      <c r="O11" s="67"/>
      <c r="P11" s="67"/>
      <c r="Q11" s="67"/>
      <c r="R11" s="67"/>
      <c r="S11" s="67"/>
      <c r="T11" s="67"/>
    </row>
    <row r="12" spans="2:20" x14ac:dyDescent="0.35">
      <c r="B12" t="str">
        <f>N12</f>
        <v>DTPSELC</v>
      </c>
      <c r="C12" t="str">
        <f>RIGHT(B12,3)</f>
        <v>ELC</v>
      </c>
      <c r="D12" t="str">
        <f>$N$5</f>
        <v>DTFC</v>
      </c>
      <c r="F12" s="52">
        <v>1</v>
      </c>
      <c r="G12" s="52">
        <v>0.95</v>
      </c>
      <c r="H12" s="29"/>
      <c r="I12" s="52"/>
      <c r="J12" s="29">
        <v>20</v>
      </c>
      <c r="L12" s="64" t="s">
        <v>112</v>
      </c>
      <c r="M12" s="68"/>
      <c r="N12" s="68" t="str">
        <f>LEFT(L12,1)&amp;B2&amp;RIGHT(O12,3)</f>
        <v>DTPSELC</v>
      </c>
      <c r="O12" s="68" t="str">
        <f>$D$2&amp;" "&amp;$C$2&amp;" - ""ELC"</f>
        <v>Demand Technology Total Primary Supply - "ELC</v>
      </c>
      <c r="P12" s="68" t="str">
        <f>$E$2</f>
        <v>MWh</v>
      </c>
      <c r="Q12" s="68" t="str">
        <f>$E$2&amp;"a"</f>
        <v>MWha</v>
      </c>
      <c r="R12" s="68"/>
      <c r="S12" s="68"/>
      <c r="T12" s="68"/>
    </row>
    <row r="13" spans="2:20" x14ac:dyDescent="0.35">
      <c r="E13" s="7"/>
      <c r="F13" s="53"/>
      <c r="G13" s="53"/>
      <c r="I13" s="53"/>
      <c r="L13" s="1"/>
    </row>
    <row r="14" spans="2:20" x14ac:dyDescent="0.35">
      <c r="E14" s="7"/>
      <c r="F14" s="53"/>
      <c r="G14" s="53"/>
      <c r="I14" s="53"/>
      <c r="O14" s="14"/>
    </row>
    <row r="15" spans="2:20" x14ac:dyDescent="0.35">
      <c r="E15" s="7"/>
      <c r="F15" s="53"/>
      <c r="G15" s="53"/>
      <c r="I15" s="53"/>
      <c r="O15" s="14"/>
    </row>
    <row r="18" spans="2:15" x14ac:dyDescent="0.35">
      <c r="I18" s="49"/>
    </row>
    <row r="19" spans="2:15" x14ac:dyDescent="0.35">
      <c r="I19" s="49"/>
    </row>
    <row r="23" spans="2:15" x14ac:dyDescent="0.35">
      <c r="B23" s="29"/>
      <c r="C23" s="1" t="s">
        <v>93</v>
      </c>
    </row>
    <row r="24" spans="2:15" x14ac:dyDescent="0.35">
      <c r="B24" s="41"/>
      <c r="C24" s="1" t="s">
        <v>94</v>
      </c>
    </row>
    <row r="25" spans="2:15" x14ac:dyDescent="0.35">
      <c r="K25" s="1"/>
    </row>
    <row r="26" spans="2:15" x14ac:dyDescent="0.35">
      <c r="K26" s="1"/>
    </row>
    <row r="27" spans="2:15" x14ac:dyDescent="0.35">
      <c r="K27" s="1"/>
    </row>
    <row r="28" spans="2:15" x14ac:dyDescent="0.35">
      <c r="K28" s="1"/>
    </row>
    <row r="32" spans="2:15" x14ac:dyDescent="0.35">
      <c r="O32" s="92" t="s">
        <v>164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4903-CDB0-4255-9C6B-35D2C98D1347}">
  <dimension ref="B1:I22"/>
  <sheetViews>
    <sheetView workbookViewId="0">
      <selection activeCell="F16" sqref="F16"/>
    </sheetView>
  </sheetViews>
  <sheetFormatPr defaultRowHeight="12.75" x14ac:dyDescent="0.35"/>
  <cols>
    <col min="1" max="1" width="2" bestFit="1" customWidth="1"/>
    <col min="2" max="2" width="11.59765625" bestFit="1" customWidth="1"/>
    <col min="3" max="3" width="25.265625" bestFit="1" customWidth="1"/>
    <col min="4" max="4" width="10.265625" bestFit="1" customWidth="1"/>
    <col min="5" max="5" width="12.1328125" customWidth="1"/>
    <col min="6" max="9" width="12.3984375" customWidth="1"/>
    <col min="10" max="10" width="7.265625" customWidth="1"/>
    <col min="11" max="11" width="11.3984375" bestFit="1" customWidth="1"/>
  </cols>
  <sheetData>
    <row r="1" spans="2:9" ht="14.25" x14ac:dyDescent="0.45">
      <c r="B1" s="8" t="s">
        <v>72</v>
      </c>
      <c r="C1" s="8" t="s">
        <v>73</v>
      </c>
      <c r="D1" s="8" t="s">
        <v>74</v>
      </c>
      <c r="E1" s="8" t="s">
        <v>75</v>
      </c>
      <c r="G1" s="8" t="s">
        <v>76</v>
      </c>
    </row>
    <row r="2" spans="2:9" ht="15.75" x14ac:dyDescent="0.5">
      <c r="B2" s="9" t="s">
        <v>80</v>
      </c>
      <c r="C2" s="9"/>
      <c r="D2" s="9"/>
      <c r="E2" s="9" t="str">
        <f>EnergyBalance!P2</f>
        <v>MWh</v>
      </c>
      <c r="G2" s="9" t="str">
        <f>EnergyBalance!O2</f>
        <v>MUSD$25</v>
      </c>
    </row>
    <row r="5" spans="2:9" ht="13.15" x14ac:dyDescent="0.4">
      <c r="C5" s="4" t="s">
        <v>13</v>
      </c>
      <c r="D5" s="4"/>
      <c r="E5" s="1"/>
    </row>
    <row r="6" spans="2:9" ht="13.15" x14ac:dyDescent="0.35">
      <c r="B6" s="3" t="s">
        <v>77</v>
      </c>
      <c r="C6" s="3" t="s">
        <v>0</v>
      </c>
      <c r="D6" s="3" t="s">
        <v>91</v>
      </c>
      <c r="E6" s="3">
        <v>2025</v>
      </c>
      <c r="F6" s="3">
        <v>2050</v>
      </c>
      <c r="G6" s="60"/>
      <c r="H6" s="60"/>
      <c r="I6" s="60"/>
    </row>
    <row r="7" spans="2:9" x14ac:dyDescent="0.35">
      <c r="B7" s="12" t="s">
        <v>78</v>
      </c>
      <c r="C7" s="12" t="s">
        <v>79</v>
      </c>
      <c r="D7" s="12" t="s">
        <v>92</v>
      </c>
      <c r="E7" s="12" t="s">
        <v>35</v>
      </c>
      <c r="F7" s="12" t="s">
        <v>35</v>
      </c>
      <c r="G7" s="61"/>
      <c r="H7" s="61"/>
      <c r="I7" s="61"/>
    </row>
    <row r="8" spans="2:9" ht="13.15" thickBot="1" x14ac:dyDescent="0.4">
      <c r="B8" s="11" t="s">
        <v>83</v>
      </c>
      <c r="C8" s="11"/>
      <c r="D8" s="11"/>
      <c r="E8" s="11" t="str">
        <f>E2</f>
        <v>MWh</v>
      </c>
      <c r="F8" s="11" t="str">
        <f>E8</f>
        <v>MWh</v>
      </c>
      <c r="G8" s="61"/>
      <c r="H8" s="61"/>
      <c r="I8" s="61"/>
    </row>
    <row r="9" spans="2:9" x14ac:dyDescent="0.35">
      <c r="B9" s="22" t="s">
        <v>34</v>
      </c>
      <c r="C9" s="22" t="str">
        <f>DemTechs_TPS!N5</f>
        <v>DTFC</v>
      </c>
      <c r="D9" s="70" t="s">
        <v>121</v>
      </c>
      <c r="E9" s="71">
        <f>EnergyBalance!J21</f>
        <v>38000</v>
      </c>
      <c r="F9" s="71">
        <f>E9</f>
        <v>38000</v>
      </c>
    </row>
    <row r="11" spans="2:9" x14ac:dyDescent="0.35">
      <c r="G11" s="7"/>
      <c r="H11" s="7"/>
      <c r="I11" s="7"/>
    </row>
    <row r="12" spans="2:9" x14ac:dyDescent="0.35">
      <c r="E12" s="21"/>
    </row>
    <row r="13" spans="2:9" x14ac:dyDescent="0.35">
      <c r="E13" s="7"/>
    </row>
    <row r="15" spans="2:9" x14ac:dyDescent="0.35">
      <c r="E15" s="7"/>
    </row>
    <row r="21" spans="2:3" x14ac:dyDescent="0.35">
      <c r="B21" s="29"/>
      <c r="C21" s="1" t="s">
        <v>93</v>
      </c>
    </row>
    <row r="22" spans="2:3" x14ac:dyDescent="0.35">
      <c r="B22" s="41"/>
      <c r="C22" s="1" t="s"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EnergyBalance</vt:lpstr>
      <vt:lpstr>Processes</vt:lpstr>
      <vt:lpstr>RES&amp;OBJ</vt:lpstr>
      <vt:lpstr>DemTechs_TPS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Nguyen Tuan</cp:lastModifiedBy>
  <cp:lastPrinted>2004-11-16T14:57:57Z</cp:lastPrinted>
  <dcterms:created xsi:type="dcterms:W3CDTF">2000-12-13T15:53:11Z</dcterms:created>
  <dcterms:modified xsi:type="dcterms:W3CDTF">2026-04-14T02:33:17Z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632569849491119</vt:lpwstr>
  </property>
</Properties>
</file>